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Testing\CS423-CSC15003-Testing-N08\reports\"/>
    </mc:Choice>
  </mc:AlternateContent>
  <xr:revisionPtr revIDLastSave="0" documentId="13_ncr:1_{0AC94DAF-9AE4-4B43-B12D-48F93FA1327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00_Overview" sheetId="1" r:id="rId1"/>
    <sheet name="01_GUI Checklist" sheetId="2" r:id="rId2"/>
    <sheet name="02_Human Review" sheetId="3" r:id="rId3"/>
    <sheet name="03_All Items" sheetId="4" r:id="rId4"/>
    <sheet name="04_Analysi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5" l="1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</calcChain>
</file>

<file path=xl/sharedStrings.xml><?xml version="1.0" encoding="utf-8"?>
<sst xmlns="http://schemas.openxmlformats.org/spreadsheetml/2006/main" count="919" uniqueCount="264">
  <si>
    <t>HW03 GUI CHECKLIST — DETAILED EXCEL VERSION</t>
  </si>
  <si>
    <t>Nội dung được chuyển trực tiếp từ các bảng Markdown, giữ nguyên cấu trúc và mức độ chi tiết.</t>
  </si>
  <si>
    <t>TEST CONTEXT</t>
  </si>
  <si>
    <t>ALLOCATION FROM MARKDOWN</t>
  </si>
  <si>
    <t>Field</t>
  </si>
  <si>
    <t>Value</t>
  </si>
  <si>
    <t>IA category</t>
  </si>
  <si>
    <t>Required minimum</t>
  </si>
  <si>
    <t>Designed</t>
  </si>
  <si>
    <t>Test date</t>
  </si>
  <si>
    <t>23/07/2026</t>
  </si>
  <si>
    <t>IA-01 General UI standards</t>
  </si>
  <si>
    <t>12</t>
  </si>
  <si>
    <t>Backend</t>
  </si>
  <si>
    <t>http://localhost:3000</t>
  </si>
  <si>
    <t>IA-02 Forms</t>
  </si>
  <si>
    <t>Frontend Web</t>
  </si>
  <si>
    <t>http://localhost:5173</t>
  </si>
  <si>
    <t>IA-03 Navigation</t>
  </si>
  <si>
    <t>10</t>
  </si>
  <si>
    <t>Frontend Admin</t>
  </si>
  <si>
    <t>http://localhost:5174</t>
  </si>
  <si>
    <t>IA-04 Feedback/state</t>
  </si>
  <si>
    <t>Browser / OS</t>
  </si>
  <si>
    <t>Chrome / Windows</t>
  </si>
  <si>
    <t>Total</t>
  </si>
  <si>
    <t>46</t>
  </si>
  <si>
    <t>Viewport</t>
  </si>
  <si>
    <t>1440 × 900</t>
  </si>
  <si>
    <t>Account</t>
  </si>
  <si>
    <t>regular user for Cart, Checkout, Coupon section, and Checkout Success; admin account for Admin Coupon Management</t>
  </si>
  <si>
    <t>Evidence directory</t>
  </si>
  <si>
    <t>./evidence/hw03/Chrome</t>
  </si>
  <si>
    <t>Method</t>
  </si>
  <si>
    <t>black-box GUI testing</t>
  </si>
  <si>
    <t>CHECKLIST SUMMARY</t>
  </si>
  <si>
    <t>Dataset</t>
  </si>
  <si>
    <t>Items</t>
  </si>
  <si>
    <t>Passed</t>
  </si>
  <si>
    <t>Failed</t>
  </si>
  <si>
    <t>Blocked</t>
  </si>
  <si>
    <t>SHEET GUIDE</t>
  </si>
  <si>
    <t>GUI checklist</t>
  </si>
  <si>
    <t>01_GUI Checklist</t>
  </si>
  <si>
    <t>46 test cases từ bảng GUI checklist</t>
  </si>
  <si>
    <t>Human-review additions</t>
  </si>
  <si>
    <t>02_Human Review</t>
  </si>
  <si>
    <t>5 mục bổ sung từ Human-review additions</t>
  </si>
  <si>
    <t>Combined</t>
  </si>
  <si>
    <t>03_All Items</t>
  </si>
  <si>
    <t>Bảng tổng hợp 51 mục đã chuẩn hóa cột</t>
  </si>
  <si>
    <t>04_Analysis</t>
  </si>
  <si>
    <t>Thống kê theo IA và màn hình</t>
  </si>
  <si>
    <t>GUI CHECKLIST — 46 ITEMS</t>
  </si>
  <si>
    <t>Giữ nguyên 8 cột và toàn bộ nội dung từ bảng “GUI checklist” trong file Markdown.</t>
  </si>
  <si>
    <t>ID</t>
  </si>
  <si>
    <t>Screen</t>
  </si>
  <si>
    <t>IA</t>
  </si>
  <si>
    <t>Check / observable expected result</t>
  </si>
  <si>
    <t>Test data or precondition</t>
  </si>
  <si>
    <t>Status</t>
  </si>
  <si>
    <t>Origin</t>
  </si>
  <si>
    <t>Evidence / notes</t>
  </si>
  <si>
    <t>GUI-01</t>
  </si>
  <si>
    <t>Cart</t>
  </si>
  <si>
    <t>IA-01</t>
  </si>
  <si>
    <t>Tiêu đề trang và toàn bộ nhãn chính hiển thị rõ ràng, thống nhất bằng tiếng Việt, không có chuỗi lỗi font hoặc ký tự bị vỡ.</t>
  </si>
  <si>
    <t>User thường đã đăng nhập; giỏ có ít nhất 1 sản phẩm.</t>
  </si>
  <si>
    <t>PASSED</t>
  </si>
  <si>
    <t>AI</t>
  </si>
  <si>
    <t>GUI-02</t>
  </si>
  <si>
    <t>Danh sách sản phẩm thể hiện rõ các thông tin Sản phẩm, Đơn giá, Số lượng, Thành tiền và Thao tác; các cột thẳng hàng, không chồng lấn tại viewport 1440 × 900.</t>
  </si>
  <si>
    <t>Giỏ có ít nhất 2 sản phẩm với tên dài/ngắn khác nhau.</t>
  </si>
  <si>
    <t>GUI-03</t>
  </si>
  <si>
    <t>Đơn giá, thành tiền từng dòng và Tổng cộng dùng ký hiệu ₫, có phân cách hàng nghìn và cùng một quy tắc định dạng.</t>
  </si>
  <si>
    <t>Giỏ có ít nhất 1 sản phẩm; tổng tiền từ 1.000 ₫ trở lên.</t>
  </si>
  <si>
    <t>GUI-04</t>
  </si>
  <si>
    <t>Checkout</t>
  </si>
  <si>
    <t>Tiêu đề Checkout/Thanh toán, thông tin giao hàng và phần tóm tắt đơn hàng có phân cấp thị giác rõ, không bị cắt hoặc chồng lấn tại viewport 1440 × 900.</t>
  </si>
  <si>
    <t>User thường đã đăng nhập; giỏ không rỗng; mở Checkout.</t>
  </si>
  <si>
    <t>GUI-05</t>
  </si>
  <si>
    <t>Tên sản phẩm, số lượng, giá, tổng tiền và nút hoàn tất thanh toán dễ đọc; nút hành động chính có kiểu hiển thị nhất quán với hành động tích cực.</t>
  </si>
  <si>
    <t>Checkout có ít nhất 2 sản phẩm.</t>
  </si>
  <si>
    <t>GUI-06</t>
  </si>
  <si>
    <t>Coupon section</t>
  </si>
  <si>
    <t>Nhãn/placeholder ô mã giảm giá và nút áp dụng mô tả rõ mục đích, dùng ngôn ngữ nhất quán và không phụ thuộc riêng vào biểu tượng.</t>
  </si>
  <si>
    <t>User ở Checkout; khu vực coupon đang hiển thị.</t>
  </si>
  <si>
    <t>GUI-07</t>
  </si>
  <si>
    <t>Giá trị giảm, tổng trước giảm và tổng sau giảm dùng ký hiệu ₫, phân cách hàng nghìn; phần trăm dùng % đúng và dễ phân biệt.</t>
  </si>
  <si>
    <t>Giỏ đủ điều kiện dùng một coupon percent và một coupon fixed.</t>
  </si>
  <si>
    <t>FAILED</t>
  </si>
  <si>
    <t>Coupon SAVE10 tăng giá thay vì giảm, sai logic áp dụng, không phải lỗi định dạng.
Evidence: GUI_07_49.png
Path: ../evidence/hw03/Chrome/GUI_07_49.png</t>
  </si>
  <si>
    <t>GUI-08</t>
  </si>
  <si>
    <t>Checkout Success</t>
  </si>
  <si>
    <t>Trạng thái đặt hàng thành công nổi bật, dễ nhận biết, không chỉ truyền đạt bằng màu sắc và không lẫn với nội dung phụ.</t>
  </si>
  <si>
    <t>Hoàn tất một đơn hàng hợp lệ.</t>
  </si>
  <si>
    <t>GUI-09</t>
  </si>
  <si>
    <t>Mã đơn, tổng tiền và thông tin xác nhận (nếu hiển thị) có nhãn rõ, định dạng nhất quán và không bị cắt ở 1440 × 900.</t>
  </si>
  <si>
    <t>Vừa hoàn tất một đơn hàng có tổng từ 1.000 ₫ trở lên.</t>
  </si>
  <si>
    <t>GUI-10</t>
  </si>
  <si>
    <t>Admin Coupon Management</t>
  </si>
  <si>
    <t>Tiêu đề quản lý coupon, khu vực tạo mới và danh sách coupon có phân cấp rõ; bảng không chồng lấn hoặc mất cột ở 1440 × 900.</t>
  </si>
  <si>
    <t>Admin đã đăng nhập; mở quản lý coupon; có ít nhất 2 coupon.</t>
  </si>
  <si>
    <t>GUI-11</t>
  </si>
  <si>
    <t>Các cột Mã, Loại, Giá trị, Đơn tối thiểu, Hết hạn, Giới hạn/người và Hành động có nhãn dễ hiểu, căn chỉnh nhất quán.</t>
  </si>
  <si>
    <t>Danh sách có cả coupon percent và fixed.</t>
  </si>
  <si>
    <t>GUI-12</t>
  </si>
  <si>
    <t>Ngày hết hạn, giá trị coupon, đơn tối thiểu và số lượt dùng được định dạng theo đúng loại dữ liệu; coupon hết hạn được phân biệt bằng cả chữ và kiểu hiển thị dễ đọc.</t>
  </si>
  <si>
    <t>Có coupon còn hạn và coupon hết hạn.</t>
  </si>
  <si>
    <t>GUI-13</t>
  </si>
  <si>
    <t>IA-02</t>
  </si>
  <si>
    <t>Điều khiển số lượng có nhãn/biểu tượng dễ hiểu, vùng bấm rõ ràng và không cho người dùng tạo số lượng nhỏ hơn 1.</t>
  </si>
  <si>
    <t>Giỏ có 1 sản phẩm với số lượng 1.</t>
  </si>
  <si>
    <t>BLOCKED</t>
  </si>
  <si>
    <t>Không thể kiểm tra min-quantity vì control tăng/giảm số lượng không tồn tại.
Evidence: GUI_13_14.png
Path: ../evidence/hw03/Chrome/GUI_13_14.png</t>
  </si>
  <si>
    <t>GUI-14</t>
  </si>
  <si>
    <t>Khi thay đổi số lượng bằng bàn phím hoặc điều khiển tăng/giảm, focus vẫn nhìn thấy và thứ tự Tab đi theo trình tự thị giác hợp lý.</t>
  </si>
  <si>
    <t>Giỏ có ít nhất 2 sản phẩm; thao tác chỉ bằng bàn phím.</t>
  </si>
  <si>
    <t>Không thể kiểm tra focus-order vì control tăng/giảm số lượng không tồn tại.
Evidence: GUI_13_14.png
Path: ../evidence/hw03/Chrome/GUI_13_14.png</t>
  </si>
  <si>
    <t>GUI-15</t>
  </si>
  <si>
    <t>Mọi trường bắt buộc của thông tin giao hàng/thanh toán có nhãn rõ và ký hiệu *; nhãn vẫn hiểu được sau khi người dùng nhập dữ liệu.</t>
  </si>
  <si>
    <t>User ở Checkout với giỏ hợp lệ.</t>
  </si>
  <si>
    <t>Không có dấu * hoặc dấu hiệu nào cho trường bắt buộc.
Evidence: GUI_15_16.png
Path: ../evidence/hw03/Chrome/GUI_15_16.png</t>
  </si>
  <si>
    <t>GUI-16</t>
  </si>
  <si>
    <t>Gửi form khi bỏ trống trường bắt buộc không tạo đơn; thông báo lỗi cụ thể xuất hiện gần trường liên quan và phía trên nút submit.</t>
  </si>
  <si>
    <t>Để trống lần lượt từng trường bắt buộc rồi gửi form.</t>
  </si>
  <si>
    <t>Checkout không có bất kỳ trường thông tin giao hàng/thanh toán bắt buộc nào để kiểm tra việc chặn submit khi bỏ trống; do đó không thể tái hiện đúng kịch bản của item này.
Evidence: GUI_15_16.png
Path: ../evidence/hw03/Chrome/GUI_15_16.png</t>
  </si>
  <si>
    <t>GUI-17</t>
  </si>
  <si>
    <t>Với toàn bộ dữ liệu hợp lệ, form chấp nhận gửi; dữ liệu trong phần tóm tắt và tổng tiền không trở thành trường cho phép chỉnh sửa trực tiếp.</t>
  </si>
  <si>
    <t>Nhập thông tin giao hàng/thanh toán hợp lệ; giỏ không rỗng.</t>
  </si>
  <si>
    <t>Ô Tổng tiền thanh toán là input có thể chỉnh sửa trực tiếp bằng bàn phím, không phải trường chỉ đọc như kỳ vọng.
Evidence: GUI_17.png
Path: ../evidence/hw03/Chrome/GUI_17.png</t>
  </si>
  <si>
    <t>GUI-18</t>
  </si>
  <si>
    <t>Ô coupon có nhãn hoặc tên truy cập được; thứ tự Tab đi từ ô mã đến nút Áp dụng rồi đến hành động checkout kế tiếp.</t>
  </si>
  <si>
    <t>User ở Checkout; thao tác chỉ bằng bàn phím.</t>
  </si>
  <si>
    <t>GUI-19</t>
  </si>
  <si>
    <t>Bấm Áp dụng khi ô coupon rỗng không làm thay đổi tổng tiền và hiển thị hướng dẫn/lỗi rõ ràng gần khu vực coupon.</t>
  </si>
  <si>
    <t>Ô coupon để trống.</t>
  </si>
  <si>
    <t>GUI-20</t>
  </si>
  <si>
    <t>Mã hợp lệ được chấp nhận dù người dùng nhập chữ thường/chữ hoa theo quy tắc hiển thị của UI; khoảng trắng đầu/cuối không gây phản hồi mơ hồ.</t>
  </si>
  <si>
    <t>Thử SAVE10, save10 và SAVE10.</t>
  </si>
  <si>
    <t>GUI-21</t>
  </si>
  <si>
    <t>Sau khi đơn đã hoàn tất, màn hình không còn form thanh toán hoặc nút submit đang hoạt động có thể vô tình gửi lại đơn.</t>
  </si>
  <si>
    <t>Vừa hoàn tất một đơn hàng hợp lệ.</t>
  </si>
  <si>
    <t>GUI-22</t>
  </si>
  <si>
    <t>Thông tin đơn hàng đã xác nhận được trình bày ở trạng thái chỉ đọc; thứ tự focus không đi vào các trường chỉnh sửa giao hàng/thanh toán cũ.</t>
  </si>
  <si>
    <t>Dùng Tab duyệt toàn bộ màn hình thành công.</t>
  </si>
  <si>
    <t>GUI-23</t>
  </si>
  <si>
    <t>Tất cả trường bắt buộc khi tạo coupon — mã, loại, giá trị giảm, ngày hết hạn, đơn tối thiểu và giới hạn/người — có nhãn rõ, ký hiệu * và liên kết dễ nhận biết với control tương ứng.</t>
  </si>
  <si>
    <t>Admin mở form tạo coupon.</t>
  </si>
  <si>
    <t>Form tạo coupon không hiển thị ký hiệu * cho các trường bắt buộc; các ô nhập chủ yếu chỉ dùng placeholder, không có nhãn văn bản riêng hiển thị cạnh từng control.
Evidence: GUI_23_33_34.png
Path: ../evidence/hw03/Chrome/GUI_23_33_34.png</t>
  </si>
  <si>
    <t>GUI-24</t>
  </si>
  <si>
    <t>Form chặn dữ liệu ngoài miền và chỉ rõ lỗi tại trường: mã trùng/rỗng, giá trị giảm không dương, đơn tối thiểu âm, ngày hết hạn không hợp lệ, giới hạn/người nhỏ hơn 1.</t>
  </si>
  <si>
    <t>Chuẩn bị lần lượt các bộ dữ liệu không hợp lệ nêu trong check.</t>
  </si>
  <si>
    <t>GUI-25</t>
  </si>
  <si>
    <t>IA-03</t>
  </si>
  <si>
    <t>Nút/đường dẫn Tiếp tục mua sắm đưa user về trang sản phẩm và trình duyệt Back quay lại Cart mà không tạo điều hướng vòng lặp.</t>
  </si>
  <si>
    <t>User ở Cart có ít nhất 1 sản phẩm.</t>
  </si>
  <si>
    <t>GUI-26</t>
  </si>
  <si>
    <t>Nút tiến tới Checkout điều hướng đúng màn hình; breadcrumb/navbar thể hiện Cart là vị trí hiện tại trước khi chuyển bước.</t>
  </si>
  <si>
    <t>User thường đã đăng nhập; giỏ không rỗng.</t>
  </si>
  <si>
    <t>Không có breadcrumb/navbar/step indicator nào thể hiện Cart là bước hiện tại trước khi chuyển sang Checkout.
Evidence: GUI_26_27_36.png
Path: ../evidence/hw03/Chrome/GUI_26_27_36.png</t>
  </si>
  <si>
    <t>GUI-27</t>
  </si>
  <si>
    <t>Luồng Cart → Checkout thể hiện bước hiện tại rõ ràng bằng breadcrumb/navbar/step indicator và không làm người dùng mất phương hướng.</t>
  </si>
  <si>
    <t>Đi từ Cart sang Checkout bằng hành động chính.</t>
  </si>
  <si>
    <t>Luồng Cart → Checkout không có breadcrumb/step indicator nào thể hiện bước hiện tại.
Evidence: GUI_26_27_36.png
Path: ../evidence/hw03/Chrome/GUI_26_27_36.png</t>
  </si>
  <si>
    <t>GUI-28</t>
  </si>
  <si>
    <t>Hành động quay lại Cart và nút Back của Chrome đều trở lại Cart hợp lý, không tự tạo đơn và không làm mất nội dung giỏ.</t>
  </si>
  <si>
    <t>Checkout đã nhập một phần thông tin; giỏ có sản phẩm.</t>
  </si>
  <si>
    <t>GUI-29</t>
  </si>
  <si>
    <t>Người dùng có thể áp dụng coupon trong Checkout mà không bị điều hướng sang trang không liên quan hoặc mất vị trí trong luồng thanh toán.</t>
  </si>
  <si>
    <t>Nhập một mã coupon và chọn Áp dụng.</t>
  </si>
  <si>
    <t>GUI-30</t>
  </si>
  <si>
    <t>Sau khi xử lý coupon, focus/điểm nhìn ở lại khu vực phản hồi hoặc chuyển hợp lý tới tổng đơn hàng để người dùng hiểu kết quả trước khi tiếp tục.</t>
  </si>
  <si>
    <t>Thử một mã hợp lệ và một mã không hợp lệ bằng bàn phím.</t>
  </si>
  <si>
    <t>GUI-31</t>
  </si>
  <si>
    <t>Màn hình cung cấp hành động tiếp theo rõ ràng, chẳng hạn Tiếp tục mua sắm hoặc xem đơn hàng, và điều hướng tới đúng đích.</t>
  </si>
  <si>
    <t>Hoàn tất đơn hàng hợp lệ.</t>
  </si>
  <si>
    <t>GUI-32</t>
  </si>
  <si>
    <t>Refresh, Back và Forward không đưa người dùng trở lại form có thể gửi lại cùng đơn hoặc tạo thêm đơn ngoài ý muốn.</t>
  </si>
  <si>
    <t>Đang ở màn hình thành công của một đơn vừa tạo.</t>
  </si>
  <si>
    <t>GUI-33</t>
  </si>
  <si>
    <t>Mục Coupon trong điều hướng admin đưa đến đúng màn hình, có trạng thái đang chọn rõ ràng; Back/Forward giữ luồng điều hướng dễ hiểu.</t>
  </si>
  <si>
    <t>Admin đã đăng nhập và đi từ màn hình admin khác sang Coupon.</t>
  </si>
  <si>
    <t>Mục “Mã Giảm Giá” được highlight màu xanh và mở đúng màn hình “Quản lý Mã Giảm Giá”; Khi ấn backward thì lại ra trang chủ trình duyệt thay vì tab trước đó.
Evidence: GUI_23_33_34.png
Path: ../evidence/hw03/Chrome/GUI_23_33_34.png</t>
  </si>
  <si>
    <t>GUI-34</t>
  </si>
  <si>
    <t>Luồng xem danh sách → tạo/xóa coupon → quay lại danh sách có hành động rõ ràng; không có control tạo, sửa, xóa hoặc hủy nào dẫn đến màn hình sai hay ngõ cụt.</t>
  </si>
  <si>
    <t>Admin mở danh sách; có dữ liệu dùng riêng cho kiểm thử thao tác.</t>
  </si>
  <si>
    <t>Không có luồng tách biệt xem/tạo/sửa/xóa; toàn bộ gộp trên một màn hình.
Evidence: GUI_23_33_34.png
Path: ../evidence/hw03/Chrome/GUI_23_33_34.png</t>
  </si>
  <si>
    <t>GUI-35</t>
  </si>
  <si>
    <t>IA-04</t>
  </si>
  <si>
    <t>Cart rỗng hiển thị icon/hình minh họa, thông báo thân thiện và hành động tiếp tục mua sắm; không hiển thị tổng tiền hoặc CTA checkout gây hiểu nhầm.</t>
  </si>
  <si>
    <t>User thường đăng nhập với giỏ rỗng.</t>
  </si>
  <si>
    <t>GUI-36</t>
  </si>
  <si>
    <t>Xóa sản phẩm yêu cầu xác nhận; Hủy giữ nguyên dòng, Xác nhận xóa cập nhật danh sách, tổng tiền và badge giỏ ngay, kèm phản hồi nhìn thấy được.</t>
  </si>
  <si>
    <t>Giỏ có ít nhất 2 sản phẩm.</t>
  </si>
  <si>
    <t>Xóa sản phẩm không có hộp thoại xác nhận; sản phẩm bị xóa ngay khi bấm.
Evidence: GUI_26_27_36.png
Path: ../evidence/hw03/Chrome/GUI_26_27_36.png</t>
  </si>
  <si>
    <t>GUI-37</t>
  </si>
  <si>
    <t>Trong lúc gửi đơn, nút submit có trạng thái đang xử lý/disabled rõ ràng và nhiều lần click nhanh không tạo phản hồi hoặc đơn trùng.</t>
  </si>
  <si>
    <t>Dữ liệu checkout hợp lệ; mô phỏng click liên tiếp.</t>
  </si>
  <si>
    <t>GUI-38</t>
  </si>
  <si>
    <t>Nếu tải/gửi đơn thất bại, UI hiển thị lỗi dễ hiểu, giữ dữ liệu người dùng hợp lý và cung cấp cách thử lại mà không làm mất giỏ.</t>
  </si>
  <si>
    <t>Làm gián đoạn backend/network khi mở hoặc gửi Checkout.</t>
  </si>
  <si>
    <t>Khi mất kết nối mạng lúc submit, hệ thống hiển thị alert lỗi chung "Lỗi khi thanh toán: Network Error", nút Xác nhận thanh toán bị kẹt ở trạng thái "Đang xử lý..." không rõ có cho phép thử lại hay không.
Evidence: GUI_38_43.png
Path: ../evidence/hw03/Chrome/GUI_38_43.png</t>
  </si>
  <si>
    <t>GUI-39</t>
  </si>
  <si>
    <t>Coupon hợp lệ cập nhật rõ tiền giảm và tổng cuối; coupon không tồn tại, hết hạn, chưa đủ đơn tối thiểu hoặc hết lượt cho phản hồi riêng, dễ hiểu và không đổi tổng sai.</t>
  </si>
  <si>
    <t>Dùng lần lượt SAVE10, mã không tồn tại, EXPIRED, mã chưa đủ ngưỡng và mã đã hết lượt.</t>
  </si>
  <si>
    <t>GUI-40</t>
  </si>
  <si>
    <t>Trạng thái coupon và tổng sau giảm giữ nhất quán sau refresh/quay lại Checkout; nếu coupon bị gỡ hoặc không còn hợp lệ, UI thông báo và khôi phục tổng đúng.</t>
  </si>
  <si>
    <t>Áp dụng coupon hợp lệ rồi refresh hoặc rời/đi lại Checkout.</t>
  </si>
  <si>
    <t>GUI-41</t>
  </si>
  <si>
    <t>Sau khi thanh toán thành công, thông báo xác nhận xuất hiện một lần, đủ rõ ràng và gắn với đúng mã/tóm tắt đơn vừa tạo.</t>
  </si>
  <si>
    <t>GUI-42</t>
  </si>
  <si>
    <t>Giỏ và badge giỏ phản ánh trạng thái đã hoàn tất đơn; refresh màn hình thành công không khôi phục sản phẩm hoặc tạo lại đơn.</t>
  </si>
  <si>
    <t>Vừa hoàn tất đơn; kiểm tra navbar rồi refresh.</t>
  </si>
  <si>
    <t>GUI-43</t>
  </si>
  <si>
    <t>Khi không tải được chi tiết xác nhận, màn hình có trạng thái lỗi/khôi phục rõ và không hiển thị nhầm thành thất bại thanh toán hay khuyến khích trả tiền lại.</t>
  </si>
  <si>
    <t>Làm gián đoạn backend/network khi tải lại màn hình thành công.</t>
  </si>
  <si>
    <t>Ảnh ghi nhận tại Checkout khi mất mạng: alert “Lỗi khi thanh toán: Network Error”, request checkout ở trạng thái pending và nút hiển thị “Đang xử lý...”; ảnh không hiển thị màn hình Checkout Success hoặc trạng thái tải lại chi tiết xác nhận.
Evidence: GUI_38_43.png
Path: ../evidence/hw03/Chrome/GUI_38_43.png</t>
  </si>
  <si>
    <t>GUI-44</t>
  </si>
  <si>
    <t>Trong lúc tải danh sách, UI có trạng thái loading; khi danh sách rỗng có empty state rõ và vẫn cung cấp đường tạo coupon.</t>
  </si>
  <si>
    <t>Admin mở màn hình khi tải chậm; kiểm tra thêm trạng thái không có coupon.</t>
  </si>
  <si>
    <t>Khi mạng chậm (Slow 4G), bảng danh sách coupon hiển thị trống hoàn toàn, không có loading indicator nào trong lúc chờ dữ liệu.
Evidence: GUI_44.png
Path: ../evidence/hw03/Chrome/GUI_44.png</t>
  </si>
  <si>
    <t>GUI-45</t>
  </si>
  <si>
    <t>Tạo coupon thành công cập nhật danh sách và có xác nhận; tạo thất bại giữ dữ liệu hợp lý, hiển thị lỗi gần form và cho phép sửa/thử lại.</t>
  </si>
  <si>
    <t>Thử một bộ dữ liệu hợp lệ và một bộ dữ liệu không hợp lệ/trùng mã.</t>
  </si>
  <si>
    <t>GUI-46</t>
  </si>
  <si>
    <t>Xóa coupon yêu cầu xác nhận; Hủy không đổi danh sách, xác nhận xóa cập nhật đúng dòng; lỗi xóa có thông báo và không làm mất trạng thái danh sách.</t>
  </si>
  <si>
    <t>Có một coupon thử nghiệm có thể xóa an toàn.</t>
  </si>
  <si>
    <t>Xóa coupon SAVE10 không xuất hiện hộp thoại xác nhận nào; danh sách cập nhật ngay từ 4 xuống 3 dòng.
Evidence: GUI_46.png
Path: ../evidence/hw03/Chrome/GUI_46.png</t>
  </si>
  <si>
    <t>HUMAN-REVIEW ADDITIONS — 5 ITEMS</t>
  </si>
  <si>
    <t>Giữ nguyên 8 cột và toàn bộ nội dung từ bảng “Human-review additions” trong file Markdown.</t>
  </si>
  <si>
    <t>Added ID</t>
  </si>
  <si>
    <t>Human-added check</t>
  </si>
  <si>
    <t>Why AI may have missed it</t>
  </si>
  <si>
    <t>GUI-047</t>
  </si>
  <si>
    <t>Cart — tổng tiền có tính đúng khi giỏ có dòng trùng sản phẩm do lỗi thêm lại không cộng dồn</t>
  </si>
  <si>
    <t>Hành vi phụ thuộc trạng thái lỗi hiếm gặp với các dòng sản phẩm trùng.</t>
  </si>
  <si>
    <t>Human</t>
  </si>
  <si>
    <t>Tổng tiền hiển thị đúng khi giỏ có 2 dòng cùng sản phẩm, mỗi dòng số lượng 1.</t>
  </si>
  <si>
    <t>GUI-48</t>
  </si>
  <si>
    <t>Admin Coupon Management — thứ tự Tab bàn phím khi di chuyển giữa danh sách, form tạo và nút sửa/xóa gộp chung 1 màn hình</t>
  </si>
  <si>
    <t>Sắc thái accessibility của nhiều vùng tương tác gộp trong một màn hình.</t>
  </si>
  <si>
    <t>Ảnh cho thấy form tạo coupon và danh sách coupon với các nút Xóa được gộp trên cùng một màn hình;.
Evidence: GUI_48.png
Path: ../evidence/hw03/Chrome/GUI_48.png</t>
  </si>
  <si>
    <t>GUI-49</t>
  </si>
  <si>
    <t>Coupon section — nhãn hiển thị loại coupon percent có khớp chiều hướng tính toán thực tế</t>
  </si>
  <si>
    <t>Kỳ vọng ngữ nghĩa giữa nhãn hiển thị và kết quả tính toán có thể mơ hồ.</t>
  </si>
  <si>
    <t>Nhãn hiển thị “Giảm 10%” đúng, nhưng tổng tiền tăng từ 103.000.000 ₫ lên 1.030.000.000 ₫ nên kết quả cuối cùng không phù hợp.
Evidence: GUI_07_49.png
Path: ../evidence/hw03/Chrome/GUI_07_49.png</t>
  </si>
  <si>
    <t>GUI-50</t>
  </si>
  <si>
    <t>Checkout — dữ liệu form có bị mất khi refresh giữa chừng khi không có cảnh báo rời trang</t>
  </si>
  <si>
    <t>Hành vi lưu trạng thái chỉ xuất hiện qua chuyển tiếp refresh giữa chừng.</t>
  </si>
  <si>
    <t>Nếu đang trong quá trình nhập mà refresh, UI hiển thị 404: NOT_FOUND.
Evidence: GUI_50.png
Path: ../evidence/hw03/Chrome/GUI_50.png</t>
  </si>
  <si>
    <t>GUI-51</t>
  </si>
  <si>
    <t>Khi thêm lại một sản phẩm đã có trong giỏ, hệ thống hiển thị thêm 1 dòng mới trùng tên thay vì cộng dồn số lượng vào dòng đã có</t>
  </si>
  <si>
    <t>Đây là hành vi runtime chỉ lộ ra khi tự tay thêm lại sản phẩm trùng, không thể suy luận được từ mô tả giao diện tĩnh ban đầu</t>
  </si>
  <si>
    <t>Giỏ hàng hiển thị 2 dòng 'Samsung Galaxy S24 Ultra' riêng biệt, mỗi dòng số lượng 1, thay vì gộp thành 1 dòng số lượng 2.
Evidence: GUI_13_14.png
Path: ../evidence/hw03/Chrome/GUI_13_14.png</t>
  </si>
  <si>
    <t>ALL CHECKLIST ITEMS — 51 ITEMS</t>
  </si>
  <si>
    <t>Bảng tổng hợp chuẩn hóa từ GUI checklist và Human-review additions để dễ lọc và phân tích.</t>
  </si>
  <si>
    <t>Source</t>
  </si>
  <si>
    <t>Check / Expected Result</t>
  </si>
  <si>
    <t>Test Data / Precondition / Review Rationale</t>
  </si>
  <si>
    <t>Evidence / Notes</t>
  </si>
  <si>
    <t>Human review</t>
  </si>
  <si>
    <t>Các số liệu bên dưới được tính từ sheet 03_All Items bằng công thức Excel.</t>
  </si>
  <si>
    <t>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</si>
</sst>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0"/>
      <color rgb="FFFFFFFF"/>
      <name val="Calibri"/>
    </font>
    <font>
      <sz val="10"/>
      <name val="Calibri"/>
    </font>
    <font>
      <i/>
      <sz val="10"/>
      <color rgb="FF1F2937"/>
      <name val="Calibri"/>
    </font>
    <font>
      <b/>
      <sz val="10"/>
      <color rgb="FF1F2937"/>
      <name val="Calibri"/>
    </font>
    <font>
      <sz val="10"/>
      <color rgb="FF1F293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0F6B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5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1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15">
    <dxf>
      <font>
        <b/>
        <color rgb="FFAD1457"/>
      </font>
      <fill>
        <patternFill patternType="solid">
          <bgColor rgb="FFFCE4EC"/>
        </patternFill>
      </fill>
    </dxf>
    <dxf>
      <font>
        <b/>
        <color rgb="FF1F4E78"/>
      </font>
      <fill>
        <patternFill patternType="solid">
          <bgColor rgb="FFEAF2F8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AD1457"/>
      </font>
      <fill>
        <patternFill patternType="solid">
          <bgColor rgb="FFFCE4EC"/>
        </patternFill>
      </fill>
    </dxf>
    <dxf>
      <font>
        <b/>
        <color rgb="FF1F4E78"/>
      </font>
      <fill>
        <patternFill patternType="solid">
          <bgColor rgb="FFEAF2F8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AD1457"/>
      </font>
      <fill>
        <patternFill patternType="solid">
          <bgColor rgb="FFFCE4EC"/>
        </patternFill>
      </fill>
    </dxf>
    <dxf>
      <font>
        <b/>
        <color rgb="FF1F4E78"/>
      </font>
      <fill>
        <patternFill patternType="solid">
          <bgColor rgb="FFEAF2F8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C62828"/>
      </font>
      <fill>
        <patternFill patternType="solid">
          <bgColor rgb="FFFCE4D6"/>
        </patternFill>
      </fill>
    </dxf>
    <dxf>
      <font>
        <b/>
        <color rgb="FF2E7D32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iledGUIChecklist" displayName="DetailedGUIChecklist" ref="A4:H50">
  <tableColumns count="8">
    <tableColumn id="1" xr3:uid="{00000000-0010-0000-0000-000001000000}" name="ID"/>
    <tableColumn id="2" xr3:uid="{00000000-0010-0000-0000-000002000000}" name="Screen"/>
    <tableColumn id="3" xr3:uid="{00000000-0010-0000-0000-000003000000}" name="IA"/>
    <tableColumn id="4" xr3:uid="{00000000-0010-0000-0000-000004000000}" name="Check / observable expected result"/>
    <tableColumn id="5" xr3:uid="{00000000-0010-0000-0000-000005000000}" name="Test data or precondition"/>
    <tableColumn id="6" xr3:uid="{00000000-0010-0000-0000-000006000000}" name="Status"/>
    <tableColumn id="7" xr3:uid="{00000000-0010-0000-0000-000007000000}" name="Origin"/>
    <tableColumn id="8" xr3:uid="{00000000-0010-0000-0000-000008000000}" name="Evidence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tailedHumanReview" displayName="DetailedHumanReview" ref="A4:H9">
  <tableColumns count="8">
    <tableColumn id="1" xr3:uid="{00000000-0010-0000-0100-000001000000}" name="Added ID"/>
    <tableColumn id="2" xr3:uid="{00000000-0010-0000-0100-000002000000}" name="Screen"/>
    <tableColumn id="3" xr3:uid="{00000000-0010-0000-0100-000003000000}" name="IA"/>
    <tableColumn id="4" xr3:uid="{00000000-0010-0000-0100-000004000000}" name="Human-added check"/>
    <tableColumn id="5" xr3:uid="{00000000-0010-0000-0100-000005000000}" name="Why AI may have missed it"/>
    <tableColumn id="6" xr3:uid="{00000000-0010-0000-0100-000006000000}" name="Status"/>
    <tableColumn id="7" xr3:uid="{00000000-0010-0000-0100-000007000000}" name="Origin"/>
    <tableColumn id="8" xr3:uid="{00000000-0010-0000-0100-000008000000}" name="Evidence /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tailedAllItems" displayName="DetailedAllItems" ref="A4:I55">
  <tableColumns count="9">
    <tableColumn id="1" xr3:uid="{00000000-0010-0000-0200-000001000000}" name="ID"/>
    <tableColumn id="2" xr3:uid="{00000000-0010-0000-0200-000002000000}" name="Source"/>
    <tableColumn id="3" xr3:uid="{00000000-0010-0000-0200-000003000000}" name="Screen"/>
    <tableColumn id="4" xr3:uid="{00000000-0010-0000-0200-000004000000}" name="IA"/>
    <tableColumn id="5" xr3:uid="{00000000-0010-0000-0200-000005000000}" name="Check / Expected Result"/>
    <tableColumn id="6" xr3:uid="{00000000-0010-0000-0200-000006000000}" name="Test Data / Precondition / Review Rationale"/>
    <tableColumn id="7" xr3:uid="{00000000-0010-0000-0200-000007000000}" name="Status"/>
    <tableColumn id="8" xr3:uid="{00000000-0010-0000-0200-000008000000}" name="Origin"/>
    <tableColumn id="9" xr3:uid="{00000000-0010-0000-0200-000009000000}" name="Evidence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opLeftCell="A8" workbookViewId="0">
      <selection sqref="A1:I2"/>
    </sheetView>
  </sheetViews>
  <sheetFormatPr defaultRowHeight="13.8"/>
  <cols>
    <col min="1" max="1" width="25" customWidth="1"/>
    <col min="2" max="2" width="62" customWidth="1"/>
    <col min="3" max="5" width="14" customWidth="1"/>
    <col min="6" max="6" width="33" customWidth="1"/>
    <col min="7" max="9" width="22" customWidth="1"/>
  </cols>
  <sheetData>
    <row r="1" spans="1:26" ht="22.3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35" customHeight="1">
      <c r="A2" s="6"/>
      <c r="B2" s="6"/>
      <c r="C2" s="6"/>
      <c r="D2" s="6"/>
      <c r="E2" s="6"/>
      <c r="F2" s="6"/>
      <c r="G2" s="6"/>
      <c r="H2" s="6"/>
      <c r="I2" s="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7" t="s">
        <v>1</v>
      </c>
      <c r="B3" s="7"/>
      <c r="C3" s="7"/>
      <c r="D3" s="7"/>
      <c r="E3" s="7"/>
      <c r="F3" s="7"/>
      <c r="G3" s="7"/>
      <c r="H3" s="7"/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8" t="s">
        <v>2</v>
      </c>
      <c r="B5" s="8"/>
      <c r="C5" s="8"/>
      <c r="D5" s="8"/>
      <c r="E5" s="1"/>
      <c r="F5" s="8" t="s">
        <v>3</v>
      </c>
      <c r="G5" s="8"/>
      <c r="H5" s="8"/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2" t="s">
        <v>4</v>
      </c>
      <c r="B6" s="2" t="s">
        <v>5</v>
      </c>
      <c r="C6" s="1"/>
      <c r="D6" s="1"/>
      <c r="E6" s="1"/>
      <c r="F6" s="2" t="s">
        <v>6</v>
      </c>
      <c r="G6" s="2" t="s">
        <v>7</v>
      </c>
      <c r="H6" s="2" t="s">
        <v>8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3" t="s">
        <v>9</v>
      </c>
      <c r="B7" s="4" t="s">
        <v>10</v>
      </c>
      <c r="C7" s="1"/>
      <c r="D7" s="1"/>
      <c r="E7" s="1"/>
      <c r="F7" s="4" t="s">
        <v>11</v>
      </c>
      <c r="G7" s="5" t="s">
        <v>12</v>
      </c>
      <c r="H7" s="5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>
      <c r="A8" s="3" t="s">
        <v>13</v>
      </c>
      <c r="B8" s="4" t="s">
        <v>14</v>
      </c>
      <c r="C8" s="1"/>
      <c r="D8" s="1"/>
      <c r="E8" s="1"/>
      <c r="F8" s="4" t="s">
        <v>15</v>
      </c>
      <c r="G8" s="5" t="s">
        <v>12</v>
      </c>
      <c r="H8" s="5" t="s">
        <v>12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3" t="s">
        <v>16</v>
      </c>
      <c r="B9" s="4" t="s">
        <v>17</v>
      </c>
      <c r="C9" s="1"/>
      <c r="D9" s="1"/>
      <c r="E9" s="1"/>
      <c r="F9" s="4" t="s">
        <v>18</v>
      </c>
      <c r="G9" s="5" t="s">
        <v>19</v>
      </c>
      <c r="H9" s="5" t="s">
        <v>19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3" t="s">
        <v>20</v>
      </c>
      <c r="B10" s="4" t="s">
        <v>21</v>
      </c>
      <c r="C10" s="1"/>
      <c r="D10" s="1"/>
      <c r="E10" s="1"/>
      <c r="F10" s="4" t="s">
        <v>22</v>
      </c>
      <c r="G10" s="5" t="s">
        <v>12</v>
      </c>
      <c r="H10" s="5" t="s">
        <v>12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3" t="s">
        <v>23</v>
      </c>
      <c r="B11" s="4" t="s">
        <v>24</v>
      </c>
      <c r="C11" s="1"/>
      <c r="D11" s="1"/>
      <c r="E11" s="1"/>
      <c r="F11" s="4" t="s">
        <v>25</v>
      </c>
      <c r="G11" s="5" t="s">
        <v>26</v>
      </c>
      <c r="H11" s="5" t="s">
        <v>26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3" t="s">
        <v>27</v>
      </c>
      <c r="B12" s="4" t="s">
        <v>28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6">
      <c r="A13" s="3" t="s">
        <v>29</v>
      </c>
      <c r="B13" s="4" t="s">
        <v>30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3" t="s">
        <v>31</v>
      </c>
      <c r="B14" s="4" t="s">
        <v>32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3" t="s">
        <v>33</v>
      </c>
      <c r="B15" s="4" t="s">
        <v>34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8" t="s">
        <v>35</v>
      </c>
      <c r="B18" s="8"/>
      <c r="C18" s="8"/>
      <c r="D18" s="8"/>
      <c r="E18" s="8"/>
      <c r="F18" s="8"/>
      <c r="G18" s="8"/>
      <c r="H18" s="8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2" t="s">
        <v>36</v>
      </c>
      <c r="B20" s="2" t="s">
        <v>37</v>
      </c>
      <c r="C20" s="2" t="s">
        <v>38</v>
      </c>
      <c r="D20" s="2" t="s">
        <v>39</v>
      </c>
      <c r="E20" s="2" t="s">
        <v>40</v>
      </c>
      <c r="F20" s="1"/>
      <c r="G20" s="9" t="s">
        <v>41</v>
      </c>
      <c r="H20" s="9"/>
      <c r="I20" s="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.6">
      <c r="A21" s="4" t="s">
        <v>42</v>
      </c>
      <c r="B21" s="5">
        <v>46</v>
      </c>
      <c r="C21" s="5">
        <v>30</v>
      </c>
      <c r="D21" s="5">
        <v>13</v>
      </c>
      <c r="E21" s="5">
        <v>3</v>
      </c>
      <c r="F21" s="1"/>
      <c r="G21" s="4" t="s">
        <v>43</v>
      </c>
      <c r="H21" s="4" t="s">
        <v>44</v>
      </c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.6">
      <c r="A22" s="4" t="s">
        <v>45</v>
      </c>
      <c r="B22" s="5">
        <v>5</v>
      </c>
      <c r="C22" s="5">
        <v>2</v>
      </c>
      <c r="D22" s="5">
        <v>3</v>
      </c>
      <c r="E22" s="5">
        <v>0</v>
      </c>
      <c r="F22" s="1"/>
      <c r="G22" s="4" t="s">
        <v>46</v>
      </c>
      <c r="H22" s="4" t="s">
        <v>47</v>
      </c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.6">
      <c r="A23" s="4" t="s">
        <v>48</v>
      </c>
      <c r="B23" s="5">
        <v>51</v>
      </c>
      <c r="C23" s="5">
        <v>32</v>
      </c>
      <c r="D23" s="5">
        <v>16</v>
      </c>
      <c r="E23" s="5">
        <v>3</v>
      </c>
      <c r="F23" s="1"/>
      <c r="G23" s="4" t="s">
        <v>49</v>
      </c>
      <c r="H23" s="4" t="s">
        <v>50</v>
      </c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1"/>
      <c r="B24" s="1"/>
      <c r="C24" s="1"/>
      <c r="D24" s="1"/>
      <c r="E24" s="1"/>
      <c r="F24" s="1"/>
      <c r="G24" s="4" t="s">
        <v>51</v>
      </c>
      <c r="H24" s="4" t="s">
        <v>52</v>
      </c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6">
    <mergeCell ref="G20:I20"/>
    <mergeCell ref="A1:I2"/>
    <mergeCell ref="A3:I3"/>
    <mergeCell ref="A5:D5"/>
    <mergeCell ref="F5:I5"/>
    <mergeCell ref="A18:I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topLeftCell="A30" workbookViewId="0">
      <selection activeCell="H11" sqref="H11"/>
    </sheetView>
  </sheetViews>
  <sheetFormatPr defaultRowHeight="13.8"/>
  <cols>
    <col min="1" max="1" width="11" customWidth="1"/>
    <col min="2" max="2" width="25" customWidth="1"/>
    <col min="3" max="3" width="9" customWidth="1"/>
    <col min="4" max="4" width="70" customWidth="1"/>
    <col min="5" max="5" width="55" customWidth="1"/>
    <col min="6" max="6" width="12" customWidth="1"/>
    <col min="7" max="7" width="10" customWidth="1"/>
    <col min="8" max="8" width="78" customWidth="1"/>
  </cols>
  <sheetData>
    <row r="1" spans="1:26" ht="24" customHeight="1">
      <c r="A1" s="6" t="s">
        <v>53</v>
      </c>
      <c r="B1" s="6"/>
      <c r="C1" s="6"/>
      <c r="D1" s="6"/>
      <c r="E1" s="6"/>
      <c r="F1" s="6"/>
      <c r="G1" s="6"/>
      <c r="H1" s="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" customHeight="1">
      <c r="A2" s="7" t="s">
        <v>54</v>
      </c>
      <c r="B2" s="7"/>
      <c r="C2" s="7"/>
      <c r="D2" s="7"/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3.6" customHeight="1">
      <c r="A4" s="2" t="s">
        <v>55</v>
      </c>
      <c r="B4" s="2" t="s">
        <v>56</v>
      </c>
      <c r="C4" s="2" t="s">
        <v>57</v>
      </c>
      <c r="D4" s="2" t="s">
        <v>58</v>
      </c>
      <c r="E4" s="2" t="s">
        <v>59</v>
      </c>
      <c r="F4" s="2" t="s">
        <v>60</v>
      </c>
      <c r="G4" s="2" t="s">
        <v>61</v>
      </c>
      <c r="H4" s="2" t="s">
        <v>62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3.650000000000006" customHeight="1">
      <c r="A5" s="5" t="s">
        <v>63</v>
      </c>
      <c r="B5" s="4" t="s">
        <v>64</v>
      </c>
      <c r="C5" s="5" t="s">
        <v>65</v>
      </c>
      <c r="D5" s="4" t="s">
        <v>66</v>
      </c>
      <c r="E5" s="4" t="s">
        <v>67</v>
      </c>
      <c r="F5" s="5" t="s">
        <v>68</v>
      </c>
      <c r="G5" s="5" t="s">
        <v>69</v>
      </c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3.650000000000006" customHeight="1">
      <c r="A6" s="5" t="s">
        <v>70</v>
      </c>
      <c r="B6" s="4" t="s">
        <v>64</v>
      </c>
      <c r="C6" s="5" t="s">
        <v>65</v>
      </c>
      <c r="D6" s="4" t="s">
        <v>71</v>
      </c>
      <c r="E6" s="4" t="s">
        <v>72</v>
      </c>
      <c r="F6" s="5" t="s">
        <v>68</v>
      </c>
      <c r="G6" s="5" t="s">
        <v>69</v>
      </c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3.650000000000006" customHeight="1">
      <c r="A7" s="5" t="s">
        <v>73</v>
      </c>
      <c r="B7" s="4" t="s">
        <v>64</v>
      </c>
      <c r="C7" s="5" t="s">
        <v>65</v>
      </c>
      <c r="D7" s="4" t="s">
        <v>74</v>
      </c>
      <c r="E7" s="4" t="s">
        <v>75</v>
      </c>
      <c r="F7" s="5" t="s">
        <v>68</v>
      </c>
      <c r="G7" s="5" t="s">
        <v>69</v>
      </c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3.650000000000006" customHeight="1">
      <c r="A8" s="5" t="s">
        <v>76</v>
      </c>
      <c r="B8" s="4" t="s">
        <v>77</v>
      </c>
      <c r="C8" s="5" t="s">
        <v>65</v>
      </c>
      <c r="D8" s="4" t="s">
        <v>78</v>
      </c>
      <c r="E8" s="4" t="s">
        <v>79</v>
      </c>
      <c r="F8" s="5" t="s">
        <v>68</v>
      </c>
      <c r="G8" s="5" t="s">
        <v>69</v>
      </c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73.650000000000006" customHeight="1">
      <c r="A9" s="5" t="s">
        <v>80</v>
      </c>
      <c r="B9" s="4" t="s">
        <v>77</v>
      </c>
      <c r="C9" s="5" t="s">
        <v>65</v>
      </c>
      <c r="D9" s="4" t="s">
        <v>81</v>
      </c>
      <c r="E9" s="4" t="s">
        <v>82</v>
      </c>
      <c r="F9" s="5" t="s">
        <v>68</v>
      </c>
      <c r="G9" s="5" t="s">
        <v>69</v>
      </c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73.650000000000006" customHeight="1">
      <c r="A10" s="5" t="s">
        <v>83</v>
      </c>
      <c r="B10" s="4" t="s">
        <v>84</v>
      </c>
      <c r="C10" s="5" t="s">
        <v>65</v>
      </c>
      <c r="D10" s="4" t="s">
        <v>85</v>
      </c>
      <c r="E10" s="4" t="s">
        <v>86</v>
      </c>
      <c r="F10" s="5" t="s">
        <v>68</v>
      </c>
      <c r="G10" s="5" t="s">
        <v>69</v>
      </c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73.650000000000006" customHeight="1">
      <c r="A11" s="5" t="s">
        <v>87</v>
      </c>
      <c r="B11" s="4" t="s">
        <v>84</v>
      </c>
      <c r="C11" s="5" t="s">
        <v>65</v>
      </c>
      <c r="D11" s="4" t="s">
        <v>88</v>
      </c>
      <c r="E11" s="4" t="s">
        <v>89</v>
      </c>
      <c r="F11" s="5" t="s">
        <v>90</v>
      </c>
      <c r="G11" s="5" t="s">
        <v>69</v>
      </c>
      <c r="H11" s="4" t="s">
        <v>91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73.650000000000006" customHeight="1">
      <c r="A12" s="5" t="s">
        <v>92</v>
      </c>
      <c r="B12" s="4" t="s">
        <v>93</v>
      </c>
      <c r="C12" s="5" t="s">
        <v>65</v>
      </c>
      <c r="D12" s="4" t="s">
        <v>94</v>
      </c>
      <c r="E12" s="4" t="s">
        <v>95</v>
      </c>
      <c r="F12" s="5" t="s">
        <v>68</v>
      </c>
      <c r="G12" s="5" t="s">
        <v>69</v>
      </c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73.650000000000006" customHeight="1">
      <c r="A13" s="5" t="s">
        <v>96</v>
      </c>
      <c r="B13" s="4" t="s">
        <v>93</v>
      </c>
      <c r="C13" s="5" t="s">
        <v>65</v>
      </c>
      <c r="D13" s="4" t="s">
        <v>97</v>
      </c>
      <c r="E13" s="4" t="s">
        <v>98</v>
      </c>
      <c r="F13" s="5" t="s">
        <v>68</v>
      </c>
      <c r="G13" s="5" t="s">
        <v>69</v>
      </c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73.650000000000006" customHeight="1">
      <c r="A14" s="5" t="s">
        <v>99</v>
      </c>
      <c r="B14" s="4" t="s">
        <v>100</v>
      </c>
      <c r="C14" s="5" t="s">
        <v>65</v>
      </c>
      <c r="D14" s="4" t="s">
        <v>101</v>
      </c>
      <c r="E14" s="4" t="s">
        <v>102</v>
      </c>
      <c r="F14" s="5" t="s">
        <v>68</v>
      </c>
      <c r="G14" s="5" t="s">
        <v>69</v>
      </c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73.650000000000006" customHeight="1">
      <c r="A15" s="5" t="s">
        <v>103</v>
      </c>
      <c r="B15" s="4" t="s">
        <v>100</v>
      </c>
      <c r="C15" s="5" t="s">
        <v>65</v>
      </c>
      <c r="D15" s="4" t="s">
        <v>104</v>
      </c>
      <c r="E15" s="4" t="s">
        <v>105</v>
      </c>
      <c r="F15" s="5" t="s">
        <v>68</v>
      </c>
      <c r="G15" s="5" t="s">
        <v>69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73.650000000000006" customHeight="1">
      <c r="A16" s="5" t="s">
        <v>106</v>
      </c>
      <c r="B16" s="4" t="s">
        <v>100</v>
      </c>
      <c r="C16" s="5" t="s">
        <v>65</v>
      </c>
      <c r="D16" s="4" t="s">
        <v>107</v>
      </c>
      <c r="E16" s="4" t="s">
        <v>108</v>
      </c>
      <c r="F16" s="5" t="s">
        <v>68</v>
      </c>
      <c r="G16" s="5" t="s">
        <v>69</v>
      </c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73.650000000000006" customHeight="1">
      <c r="A17" s="5" t="s">
        <v>109</v>
      </c>
      <c r="B17" s="4" t="s">
        <v>64</v>
      </c>
      <c r="C17" s="5" t="s">
        <v>110</v>
      </c>
      <c r="D17" s="4" t="s">
        <v>111</v>
      </c>
      <c r="E17" s="4" t="s">
        <v>112</v>
      </c>
      <c r="F17" s="5" t="s">
        <v>113</v>
      </c>
      <c r="G17" s="5" t="s">
        <v>69</v>
      </c>
      <c r="H17" s="4" t="s">
        <v>114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3.650000000000006" customHeight="1">
      <c r="A18" s="5" t="s">
        <v>115</v>
      </c>
      <c r="B18" s="4" t="s">
        <v>64</v>
      </c>
      <c r="C18" s="5" t="s">
        <v>110</v>
      </c>
      <c r="D18" s="4" t="s">
        <v>116</v>
      </c>
      <c r="E18" s="4" t="s">
        <v>117</v>
      </c>
      <c r="F18" s="5" t="s">
        <v>113</v>
      </c>
      <c r="G18" s="5" t="s">
        <v>69</v>
      </c>
      <c r="H18" s="4" t="s">
        <v>118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73.650000000000006" customHeight="1">
      <c r="A19" s="5" t="s">
        <v>119</v>
      </c>
      <c r="B19" s="4" t="s">
        <v>77</v>
      </c>
      <c r="C19" s="5" t="s">
        <v>110</v>
      </c>
      <c r="D19" s="4" t="s">
        <v>120</v>
      </c>
      <c r="E19" s="4" t="s">
        <v>121</v>
      </c>
      <c r="F19" s="5" t="s">
        <v>90</v>
      </c>
      <c r="G19" s="5" t="s">
        <v>69</v>
      </c>
      <c r="H19" s="4" t="s">
        <v>122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73.650000000000006" customHeight="1">
      <c r="A20" s="5" t="s">
        <v>123</v>
      </c>
      <c r="B20" s="4" t="s">
        <v>77</v>
      </c>
      <c r="C20" s="5" t="s">
        <v>110</v>
      </c>
      <c r="D20" s="4" t="s">
        <v>124</v>
      </c>
      <c r="E20" s="4" t="s">
        <v>125</v>
      </c>
      <c r="F20" s="5" t="s">
        <v>113</v>
      </c>
      <c r="G20" s="5" t="s">
        <v>69</v>
      </c>
      <c r="H20" s="4" t="s">
        <v>126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73.650000000000006" customHeight="1">
      <c r="A21" s="5" t="s">
        <v>127</v>
      </c>
      <c r="B21" s="4" t="s">
        <v>77</v>
      </c>
      <c r="C21" s="5" t="s">
        <v>110</v>
      </c>
      <c r="D21" s="4" t="s">
        <v>128</v>
      </c>
      <c r="E21" s="4" t="s">
        <v>129</v>
      </c>
      <c r="F21" s="5" t="s">
        <v>90</v>
      </c>
      <c r="G21" s="5" t="s">
        <v>69</v>
      </c>
      <c r="H21" s="4" t="s">
        <v>130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73.650000000000006" customHeight="1">
      <c r="A22" s="5" t="s">
        <v>131</v>
      </c>
      <c r="B22" s="4" t="s">
        <v>84</v>
      </c>
      <c r="C22" s="5" t="s">
        <v>110</v>
      </c>
      <c r="D22" s="4" t="s">
        <v>132</v>
      </c>
      <c r="E22" s="4" t="s">
        <v>133</v>
      </c>
      <c r="F22" s="5" t="s">
        <v>68</v>
      </c>
      <c r="G22" s="5" t="s">
        <v>69</v>
      </c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73.650000000000006" customHeight="1">
      <c r="A23" s="5" t="s">
        <v>134</v>
      </c>
      <c r="B23" s="4" t="s">
        <v>84</v>
      </c>
      <c r="C23" s="5" t="s">
        <v>110</v>
      </c>
      <c r="D23" s="4" t="s">
        <v>135</v>
      </c>
      <c r="E23" s="4" t="s">
        <v>136</v>
      </c>
      <c r="F23" s="5" t="s">
        <v>68</v>
      </c>
      <c r="G23" s="5" t="s">
        <v>69</v>
      </c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73.650000000000006" customHeight="1">
      <c r="A24" s="5" t="s">
        <v>137</v>
      </c>
      <c r="B24" s="4" t="s">
        <v>84</v>
      </c>
      <c r="C24" s="5" t="s">
        <v>110</v>
      </c>
      <c r="D24" s="4" t="s">
        <v>138</v>
      </c>
      <c r="E24" s="4" t="s">
        <v>139</v>
      </c>
      <c r="F24" s="5" t="s">
        <v>68</v>
      </c>
      <c r="G24" s="5" t="s">
        <v>69</v>
      </c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73.650000000000006" customHeight="1">
      <c r="A25" s="5" t="s">
        <v>140</v>
      </c>
      <c r="B25" s="4" t="s">
        <v>93</v>
      </c>
      <c r="C25" s="5" t="s">
        <v>110</v>
      </c>
      <c r="D25" s="4" t="s">
        <v>141</v>
      </c>
      <c r="E25" s="4" t="s">
        <v>142</v>
      </c>
      <c r="F25" s="5" t="s">
        <v>68</v>
      </c>
      <c r="G25" s="5" t="s">
        <v>69</v>
      </c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73.650000000000006" customHeight="1">
      <c r="A26" s="5" t="s">
        <v>143</v>
      </c>
      <c r="B26" s="4" t="s">
        <v>93</v>
      </c>
      <c r="C26" s="5" t="s">
        <v>110</v>
      </c>
      <c r="D26" s="4" t="s">
        <v>144</v>
      </c>
      <c r="E26" s="4" t="s">
        <v>145</v>
      </c>
      <c r="F26" s="5" t="s">
        <v>68</v>
      </c>
      <c r="G26" s="5" t="s">
        <v>69</v>
      </c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73.650000000000006" customHeight="1">
      <c r="A27" s="5" t="s">
        <v>146</v>
      </c>
      <c r="B27" s="4" t="s">
        <v>100</v>
      </c>
      <c r="C27" s="5" t="s">
        <v>110</v>
      </c>
      <c r="D27" s="4" t="s">
        <v>147</v>
      </c>
      <c r="E27" s="4" t="s">
        <v>148</v>
      </c>
      <c r="F27" s="5" t="s">
        <v>90</v>
      </c>
      <c r="G27" s="5" t="s">
        <v>69</v>
      </c>
      <c r="H27" s="4" t="s">
        <v>149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73.650000000000006" customHeight="1">
      <c r="A28" s="5" t="s">
        <v>150</v>
      </c>
      <c r="B28" s="4" t="s">
        <v>100</v>
      </c>
      <c r="C28" s="5" t="s">
        <v>110</v>
      </c>
      <c r="D28" s="4" t="s">
        <v>151</v>
      </c>
      <c r="E28" s="4" t="s">
        <v>152</v>
      </c>
      <c r="F28" s="5" t="s">
        <v>68</v>
      </c>
      <c r="G28" s="5" t="s">
        <v>69</v>
      </c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73.650000000000006" customHeight="1">
      <c r="A29" s="5" t="s">
        <v>153</v>
      </c>
      <c r="B29" s="4" t="s">
        <v>64</v>
      </c>
      <c r="C29" s="5" t="s">
        <v>154</v>
      </c>
      <c r="D29" s="4" t="s">
        <v>155</v>
      </c>
      <c r="E29" s="4" t="s">
        <v>156</v>
      </c>
      <c r="F29" s="5" t="s">
        <v>68</v>
      </c>
      <c r="G29" s="5" t="s">
        <v>69</v>
      </c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73.650000000000006" customHeight="1">
      <c r="A30" s="5" t="s">
        <v>157</v>
      </c>
      <c r="B30" s="4" t="s">
        <v>64</v>
      </c>
      <c r="C30" s="5" t="s">
        <v>154</v>
      </c>
      <c r="D30" s="4" t="s">
        <v>158</v>
      </c>
      <c r="E30" s="4" t="s">
        <v>159</v>
      </c>
      <c r="F30" s="5" t="s">
        <v>90</v>
      </c>
      <c r="G30" s="5" t="s">
        <v>69</v>
      </c>
      <c r="H30" s="4" t="s">
        <v>160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73.650000000000006" customHeight="1">
      <c r="A31" s="5" t="s">
        <v>161</v>
      </c>
      <c r="B31" s="4" t="s">
        <v>77</v>
      </c>
      <c r="C31" s="5" t="s">
        <v>154</v>
      </c>
      <c r="D31" s="4" t="s">
        <v>162</v>
      </c>
      <c r="E31" s="4" t="s">
        <v>163</v>
      </c>
      <c r="F31" s="5" t="s">
        <v>90</v>
      </c>
      <c r="G31" s="5" t="s">
        <v>69</v>
      </c>
      <c r="H31" s="4" t="s">
        <v>164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73.650000000000006" customHeight="1">
      <c r="A32" s="5" t="s">
        <v>165</v>
      </c>
      <c r="B32" s="4" t="s">
        <v>77</v>
      </c>
      <c r="C32" s="5" t="s">
        <v>154</v>
      </c>
      <c r="D32" s="4" t="s">
        <v>166</v>
      </c>
      <c r="E32" s="4" t="s">
        <v>167</v>
      </c>
      <c r="F32" s="5" t="s">
        <v>68</v>
      </c>
      <c r="G32" s="5" t="s">
        <v>69</v>
      </c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73.650000000000006" customHeight="1">
      <c r="A33" s="5" t="s">
        <v>168</v>
      </c>
      <c r="B33" s="4" t="s">
        <v>84</v>
      </c>
      <c r="C33" s="5" t="s">
        <v>154</v>
      </c>
      <c r="D33" s="4" t="s">
        <v>169</v>
      </c>
      <c r="E33" s="4" t="s">
        <v>170</v>
      </c>
      <c r="F33" s="5" t="s">
        <v>68</v>
      </c>
      <c r="G33" s="5" t="s">
        <v>69</v>
      </c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73.650000000000006" customHeight="1">
      <c r="A34" s="5" t="s">
        <v>171</v>
      </c>
      <c r="B34" s="4" t="s">
        <v>84</v>
      </c>
      <c r="C34" s="5" t="s">
        <v>154</v>
      </c>
      <c r="D34" s="4" t="s">
        <v>172</v>
      </c>
      <c r="E34" s="4" t="s">
        <v>173</v>
      </c>
      <c r="F34" s="5" t="s">
        <v>68</v>
      </c>
      <c r="G34" s="5" t="s">
        <v>69</v>
      </c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73.650000000000006" customHeight="1">
      <c r="A35" s="5" t="s">
        <v>174</v>
      </c>
      <c r="B35" s="4" t="s">
        <v>93</v>
      </c>
      <c r="C35" s="5" t="s">
        <v>154</v>
      </c>
      <c r="D35" s="4" t="s">
        <v>175</v>
      </c>
      <c r="E35" s="4" t="s">
        <v>176</v>
      </c>
      <c r="F35" s="5" t="s">
        <v>68</v>
      </c>
      <c r="G35" s="5" t="s">
        <v>69</v>
      </c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73.650000000000006" customHeight="1">
      <c r="A36" s="5" t="s">
        <v>177</v>
      </c>
      <c r="B36" s="4" t="s">
        <v>93</v>
      </c>
      <c r="C36" s="5" t="s">
        <v>154</v>
      </c>
      <c r="D36" s="4" t="s">
        <v>178</v>
      </c>
      <c r="E36" s="4" t="s">
        <v>179</v>
      </c>
      <c r="F36" s="5" t="s">
        <v>68</v>
      </c>
      <c r="G36" s="5" t="s">
        <v>69</v>
      </c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73.650000000000006" customHeight="1">
      <c r="A37" s="5" t="s">
        <v>180</v>
      </c>
      <c r="B37" s="4" t="s">
        <v>100</v>
      </c>
      <c r="C37" s="5" t="s">
        <v>154</v>
      </c>
      <c r="D37" s="4" t="s">
        <v>181</v>
      </c>
      <c r="E37" s="4" t="s">
        <v>182</v>
      </c>
      <c r="F37" s="5" t="s">
        <v>90</v>
      </c>
      <c r="G37" s="5" t="s">
        <v>69</v>
      </c>
      <c r="H37" s="4" t="s">
        <v>183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73.650000000000006" customHeight="1">
      <c r="A38" s="5" t="s">
        <v>184</v>
      </c>
      <c r="B38" s="4" t="s">
        <v>100</v>
      </c>
      <c r="C38" s="5" t="s">
        <v>154</v>
      </c>
      <c r="D38" s="4" t="s">
        <v>185</v>
      </c>
      <c r="E38" s="4" t="s">
        <v>186</v>
      </c>
      <c r="F38" s="5" t="s">
        <v>90</v>
      </c>
      <c r="G38" s="5" t="s">
        <v>69</v>
      </c>
      <c r="H38" s="4" t="s">
        <v>187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73.650000000000006" customHeight="1">
      <c r="A39" s="5" t="s">
        <v>188</v>
      </c>
      <c r="B39" s="4" t="s">
        <v>64</v>
      </c>
      <c r="C39" s="5" t="s">
        <v>189</v>
      </c>
      <c r="D39" s="4" t="s">
        <v>190</v>
      </c>
      <c r="E39" s="4" t="s">
        <v>191</v>
      </c>
      <c r="F39" s="5" t="s">
        <v>68</v>
      </c>
      <c r="G39" s="5" t="s">
        <v>69</v>
      </c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73.650000000000006" customHeight="1">
      <c r="A40" s="5" t="s">
        <v>192</v>
      </c>
      <c r="B40" s="4" t="s">
        <v>64</v>
      </c>
      <c r="C40" s="5" t="s">
        <v>189</v>
      </c>
      <c r="D40" s="4" t="s">
        <v>193</v>
      </c>
      <c r="E40" s="4" t="s">
        <v>194</v>
      </c>
      <c r="F40" s="5" t="s">
        <v>90</v>
      </c>
      <c r="G40" s="5" t="s">
        <v>69</v>
      </c>
      <c r="H40" s="4" t="s">
        <v>195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73.650000000000006" customHeight="1">
      <c r="A41" s="5" t="s">
        <v>196</v>
      </c>
      <c r="B41" s="4" t="s">
        <v>77</v>
      </c>
      <c r="C41" s="5" t="s">
        <v>189</v>
      </c>
      <c r="D41" s="4" t="s">
        <v>197</v>
      </c>
      <c r="E41" s="4" t="s">
        <v>198</v>
      </c>
      <c r="F41" s="5" t="s">
        <v>68</v>
      </c>
      <c r="G41" s="5" t="s">
        <v>69</v>
      </c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73.650000000000006" customHeight="1">
      <c r="A42" s="5" t="s">
        <v>199</v>
      </c>
      <c r="B42" s="4" t="s">
        <v>77</v>
      </c>
      <c r="C42" s="5" t="s">
        <v>189</v>
      </c>
      <c r="D42" s="4" t="s">
        <v>200</v>
      </c>
      <c r="E42" s="4" t="s">
        <v>201</v>
      </c>
      <c r="F42" s="5" t="s">
        <v>90</v>
      </c>
      <c r="G42" s="5" t="s">
        <v>69</v>
      </c>
      <c r="H42" s="4" t="s">
        <v>202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73.650000000000006" customHeight="1">
      <c r="A43" s="5" t="s">
        <v>203</v>
      </c>
      <c r="B43" s="4" t="s">
        <v>84</v>
      </c>
      <c r="C43" s="5" t="s">
        <v>189</v>
      </c>
      <c r="D43" s="4" t="s">
        <v>204</v>
      </c>
      <c r="E43" s="4" t="s">
        <v>205</v>
      </c>
      <c r="F43" s="5" t="s">
        <v>68</v>
      </c>
      <c r="G43" s="5" t="s">
        <v>69</v>
      </c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73.650000000000006" customHeight="1">
      <c r="A44" s="5" t="s">
        <v>206</v>
      </c>
      <c r="B44" s="4" t="s">
        <v>84</v>
      </c>
      <c r="C44" s="5" t="s">
        <v>189</v>
      </c>
      <c r="D44" s="4" t="s">
        <v>207</v>
      </c>
      <c r="E44" s="4" t="s">
        <v>208</v>
      </c>
      <c r="F44" s="5" t="s">
        <v>68</v>
      </c>
      <c r="G44" s="5" t="s">
        <v>69</v>
      </c>
      <c r="H44" s="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73.650000000000006" customHeight="1">
      <c r="A45" s="5" t="s">
        <v>209</v>
      </c>
      <c r="B45" s="4" t="s">
        <v>93</v>
      </c>
      <c r="C45" s="5" t="s">
        <v>189</v>
      </c>
      <c r="D45" s="4" t="s">
        <v>210</v>
      </c>
      <c r="E45" s="4" t="s">
        <v>95</v>
      </c>
      <c r="F45" s="5" t="s">
        <v>68</v>
      </c>
      <c r="G45" s="5" t="s">
        <v>69</v>
      </c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73.650000000000006" customHeight="1">
      <c r="A46" s="5" t="s">
        <v>211</v>
      </c>
      <c r="B46" s="4" t="s">
        <v>93</v>
      </c>
      <c r="C46" s="5" t="s">
        <v>189</v>
      </c>
      <c r="D46" s="4" t="s">
        <v>212</v>
      </c>
      <c r="E46" s="4" t="s">
        <v>213</v>
      </c>
      <c r="F46" s="5" t="s">
        <v>68</v>
      </c>
      <c r="G46" s="5" t="s">
        <v>69</v>
      </c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73.650000000000006" customHeight="1">
      <c r="A47" s="5" t="s">
        <v>214</v>
      </c>
      <c r="B47" s="4" t="s">
        <v>93</v>
      </c>
      <c r="C47" s="5" t="s">
        <v>189</v>
      </c>
      <c r="D47" s="4" t="s">
        <v>215</v>
      </c>
      <c r="E47" s="4" t="s">
        <v>216</v>
      </c>
      <c r="F47" s="5" t="s">
        <v>90</v>
      </c>
      <c r="G47" s="5" t="s">
        <v>69</v>
      </c>
      <c r="H47" s="4" t="s">
        <v>217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73.650000000000006" customHeight="1">
      <c r="A48" s="5" t="s">
        <v>218</v>
      </c>
      <c r="B48" s="4" t="s">
        <v>100</v>
      </c>
      <c r="C48" s="5" t="s">
        <v>189</v>
      </c>
      <c r="D48" s="4" t="s">
        <v>219</v>
      </c>
      <c r="E48" s="4" t="s">
        <v>220</v>
      </c>
      <c r="F48" s="5" t="s">
        <v>90</v>
      </c>
      <c r="G48" s="5" t="s">
        <v>69</v>
      </c>
      <c r="H48" s="4" t="s">
        <v>221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73.650000000000006" customHeight="1">
      <c r="A49" s="5" t="s">
        <v>222</v>
      </c>
      <c r="B49" s="4" t="s">
        <v>100</v>
      </c>
      <c r="C49" s="5" t="s">
        <v>189</v>
      </c>
      <c r="D49" s="4" t="s">
        <v>223</v>
      </c>
      <c r="E49" s="4" t="s">
        <v>224</v>
      </c>
      <c r="F49" s="5" t="s">
        <v>68</v>
      </c>
      <c r="G49" s="5" t="s">
        <v>69</v>
      </c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73.650000000000006" customHeight="1">
      <c r="A50" s="5" t="s">
        <v>225</v>
      </c>
      <c r="B50" s="4" t="s">
        <v>100</v>
      </c>
      <c r="C50" s="5" t="s">
        <v>189</v>
      </c>
      <c r="D50" s="4" t="s">
        <v>226</v>
      </c>
      <c r="E50" s="4" t="s">
        <v>227</v>
      </c>
      <c r="F50" s="5" t="s">
        <v>90</v>
      </c>
      <c r="G50" s="5" t="s">
        <v>69</v>
      </c>
      <c r="H50" s="4" t="s">
        <v>228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H1"/>
    <mergeCell ref="A2:H2"/>
  </mergeCells>
  <conditionalFormatting sqref="F5:F50">
    <cfRule type="expression" dxfId="14" priority="1">
      <formula>F5="PASSED"</formula>
    </cfRule>
    <cfRule type="expression" dxfId="13" priority="2">
      <formula>F5="FAILED"</formula>
    </cfRule>
    <cfRule type="expression" dxfId="12" priority="3">
      <formula>F5="BLOCKED"</formula>
    </cfRule>
  </conditionalFormatting>
  <conditionalFormatting sqref="G5:G50">
    <cfRule type="expression" dxfId="11" priority="4">
      <formula>G5="AI"</formula>
    </cfRule>
    <cfRule type="expression" dxfId="10" priority="5">
      <formula>G5="Human"</formula>
    </cfRule>
  </conditionalFormatting>
  <dataValidations count="3">
    <dataValidation type="list" sqref="F5:F50" xr:uid="{00000000-0002-0000-0100-000000000000}">
      <formula1>"PASSED,FAILED,BLOCKED"</formula1>
    </dataValidation>
    <dataValidation type="list" sqref="C5:C50" xr:uid="{00000000-0002-0000-0100-000001000000}">
      <formula1>"IA-01,IA-02,IA-03,IA-04"</formula1>
    </dataValidation>
    <dataValidation type="list" sqref="G5:G50" xr:uid="{00000000-0002-0000-0100-000002000000}">
      <formula1>"AI,Human"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3.8"/>
  <cols>
    <col min="1" max="1" width="12" customWidth="1"/>
    <col min="2" max="2" width="25" customWidth="1"/>
    <col min="3" max="3" width="9" customWidth="1"/>
    <col min="4" max="4" width="68" customWidth="1"/>
    <col min="5" max="5" width="55" customWidth="1"/>
    <col min="6" max="6" width="12" customWidth="1"/>
    <col min="7" max="7" width="10" customWidth="1"/>
    <col min="8" max="8" width="78" customWidth="1"/>
  </cols>
  <sheetData>
    <row r="1" spans="1:26" ht="24" customHeight="1">
      <c r="A1" s="6" t="s">
        <v>229</v>
      </c>
      <c r="B1" s="6"/>
      <c r="C1" s="6"/>
      <c r="D1" s="6"/>
      <c r="E1" s="6"/>
      <c r="F1" s="6"/>
      <c r="G1" s="6"/>
      <c r="H1" s="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" customHeight="1">
      <c r="A2" s="7" t="s">
        <v>230</v>
      </c>
      <c r="B2" s="7"/>
      <c r="C2" s="7"/>
      <c r="D2" s="7"/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3.6" customHeight="1">
      <c r="A4" s="2" t="s">
        <v>231</v>
      </c>
      <c r="B4" s="2" t="s">
        <v>56</v>
      </c>
      <c r="C4" s="2" t="s">
        <v>57</v>
      </c>
      <c r="D4" s="2" t="s">
        <v>232</v>
      </c>
      <c r="E4" s="2" t="s">
        <v>233</v>
      </c>
      <c r="F4" s="2" t="s">
        <v>60</v>
      </c>
      <c r="G4" s="2" t="s">
        <v>61</v>
      </c>
      <c r="H4" s="2" t="s">
        <v>62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88.05" customHeight="1">
      <c r="A5" s="5" t="s">
        <v>234</v>
      </c>
      <c r="B5" s="4" t="s">
        <v>64</v>
      </c>
      <c r="C5" s="5" t="s">
        <v>189</v>
      </c>
      <c r="D5" s="4" t="s">
        <v>235</v>
      </c>
      <c r="E5" s="4" t="s">
        <v>236</v>
      </c>
      <c r="F5" s="5" t="s">
        <v>68</v>
      </c>
      <c r="G5" s="5" t="s">
        <v>237</v>
      </c>
      <c r="H5" s="4" t="s">
        <v>238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88.05" customHeight="1">
      <c r="A6" s="5" t="s">
        <v>239</v>
      </c>
      <c r="B6" s="4" t="s">
        <v>100</v>
      </c>
      <c r="C6" s="5" t="s">
        <v>110</v>
      </c>
      <c r="D6" s="4" t="s">
        <v>240</v>
      </c>
      <c r="E6" s="4" t="s">
        <v>241</v>
      </c>
      <c r="F6" s="5" t="s">
        <v>68</v>
      </c>
      <c r="G6" s="5" t="s">
        <v>237</v>
      </c>
      <c r="H6" s="4" t="s">
        <v>242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88.05" customHeight="1">
      <c r="A7" s="5" t="s">
        <v>243</v>
      </c>
      <c r="B7" s="4" t="s">
        <v>84</v>
      </c>
      <c r="C7" s="5" t="s">
        <v>65</v>
      </c>
      <c r="D7" s="4" t="s">
        <v>244</v>
      </c>
      <c r="E7" s="4" t="s">
        <v>245</v>
      </c>
      <c r="F7" s="5" t="s">
        <v>90</v>
      </c>
      <c r="G7" s="5" t="s">
        <v>237</v>
      </c>
      <c r="H7" s="4" t="s">
        <v>246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88.05" customHeight="1">
      <c r="A8" s="5" t="s">
        <v>247</v>
      </c>
      <c r="B8" s="4" t="s">
        <v>77</v>
      </c>
      <c r="C8" s="5" t="s">
        <v>189</v>
      </c>
      <c r="D8" s="4" t="s">
        <v>248</v>
      </c>
      <c r="E8" s="4" t="s">
        <v>249</v>
      </c>
      <c r="F8" s="5" t="s">
        <v>90</v>
      </c>
      <c r="G8" s="5" t="s">
        <v>237</v>
      </c>
      <c r="H8" s="4" t="s">
        <v>250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88.05" customHeight="1">
      <c r="A9" s="5" t="s">
        <v>251</v>
      </c>
      <c r="B9" s="4" t="s">
        <v>64</v>
      </c>
      <c r="C9" s="5" t="s">
        <v>189</v>
      </c>
      <c r="D9" s="4" t="s">
        <v>252</v>
      </c>
      <c r="E9" s="4" t="s">
        <v>253</v>
      </c>
      <c r="F9" s="5" t="s">
        <v>90</v>
      </c>
      <c r="G9" s="5" t="s">
        <v>237</v>
      </c>
      <c r="H9" s="4" t="s">
        <v>254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H1"/>
    <mergeCell ref="A2:H2"/>
  </mergeCells>
  <conditionalFormatting sqref="F5:F9">
    <cfRule type="expression" dxfId="9" priority="1">
      <formula>F5="PASSED"</formula>
    </cfRule>
    <cfRule type="expression" dxfId="8" priority="2">
      <formula>F5="FAILED"</formula>
    </cfRule>
    <cfRule type="expression" dxfId="7" priority="3">
      <formula>F5="BLOCKED"</formula>
    </cfRule>
  </conditionalFormatting>
  <conditionalFormatting sqref="G5:G9">
    <cfRule type="expression" dxfId="6" priority="4">
      <formula>G5="AI"</formula>
    </cfRule>
    <cfRule type="expression" dxfId="5" priority="5">
      <formula>G5="Human"</formula>
    </cfRule>
  </conditionalFormatting>
  <dataValidations count="3">
    <dataValidation type="list" sqref="F5:F9" xr:uid="{00000000-0002-0000-0200-000000000000}">
      <formula1>"PASSED,FAILED,BLOCKED"</formula1>
    </dataValidation>
    <dataValidation type="list" sqref="C5:C9" xr:uid="{00000000-0002-0000-0200-000001000000}">
      <formula1>"IA-01,IA-02,IA-03,IA-04"</formula1>
    </dataValidation>
    <dataValidation type="list" sqref="G5:G9" xr:uid="{00000000-0002-0000-0200-000002000000}">
      <formula1>"AI,Human"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>
      <selection activeCell="E9" sqref="E9"/>
    </sheetView>
  </sheetViews>
  <sheetFormatPr defaultRowHeight="13.8"/>
  <cols>
    <col min="1" max="1" width="12" customWidth="1"/>
    <col min="2" max="2" width="16" customWidth="1"/>
    <col min="3" max="3" width="25" customWidth="1"/>
    <col min="4" max="4" width="9" customWidth="1"/>
    <col min="5" max="5" width="68" customWidth="1"/>
    <col min="6" max="6" width="55" customWidth="1"/>
    <col min="7" max="7" width="12" customWidth="1"/>
    <col min="8" max="8" width="10" customWidth="1"/>
    <col min="9" max="9" width="78" customWidth="1"/>
  </cols>
  <sheetData>
    <row r="1" spans="1:26" ht="24" customHeight="1">
      <c r="A1" s="6" t="s">
        <v>255</v>
      </c>
      <c r="B1" s="6"/>
      <c r="C1" s="6"/>
      <c r="D1" s="6"/>
      <c r="E1" s="6"/>
      <c r="F1" s="6"/>
      <c r="G1" s="6"/>
      <c r="H1" s="6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" customHeight="1">
      <c r="A2" s="7" t="s">
        <v>256</v>
      </c>
      <c r="B2" s="7"/>
      <c r="C2" s="7"/>
      <c r="D2" s="7"/>
      <c r="E2" s="7"/>
      <c r="F2" s="7"/>
      <c r="G2" s="7"/>
      <c r="H2" s="7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3.6" customHeight="1">
      <c r="A4" s="2" t="s">
        <v>55</v>
      </c>
      <c r="B4" s="2" t="s">
        <v>257</v>
      </c>
      <c r="C4" s="2" t="s">
        <v>56</v>
      </c>
      <c r="D4" s="2" t="s">
        <v>57</v>
      </c>
      <c r="E4" s="2" t="s">
        <v>258</v>
      </c>
      <c r="F4" s="2" t="s">
        <v>259</v>
      </c>
      <c r="G4" s="2" t="s">
        <v>60</v>
      </c>
      <c r="H4" s="2" t="s">
        <v>61</v>
      </c>
      <c r="I4" s="2" t="s">
        <v>260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6.05" customHeight="1">
      <c r="A5" s="5" t="s">
        <v>63</v>
      </c>
      <c r="B5" s="4" t="s">
        <v>42</v>
      </c>
      <c r="C5" s="4" t="s">
        <v>64</v>
      </c>
      <c r="D5" s="5" t="s">
        <v>65</v>
      </c>
      <c r="E5" s="4" t="s">
        <v>66</v>
      </c>
      <c r="F5" s="4" t="s">
        <v>67</v>
      </c>
      <c r="G5" s="5" t="s">
        <v>68</v>
      </c>
      <c r="H5" s="5" t="s">
        <v>69</v>
      </c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6.05" customHeight="1">
      <c r="A6" s="5" t="s">
        <v>70</v>
      </c>
      <c r="B6" s="4" t="s">
        <v>42</v>
      </c>
      <c r="C6" s="4" t="s">
        <v>64</v>
      </c>
      <c r="D6" s="5" t="s">
        <v>65</v>
      </c>
      <c r="E6" s="4" t="s">
        <v>71</v>
      </c>
      <c r="F6" s="4" t="s">
        <v>72</v>
      </c>
      <c r="G6" s="5" t="s">
        <v>68</v>
      </c>
      <c r="H6" s="5" t="s">
        <v>69</v>
      </c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6.05" customHeight="1">
      <c r="A7" s="5" t="s">
        <v>73</v>
      </c>
      <c r="B7" s="4" t="s">
        <v>42</v>
      </c>
      <c r="C7" s="4" t="s">
        <v>64</v>
      </c>
      <c r="D7" s="5" t="s">
        <v>65</v>
      </c>
      <c r="E7" s="4" t="s">
        <v>74</v>
      </c>
      <c r="F7" s="4" t="s">
        <v>75</v>
      </c>
      <c r="G7" s="5" t="s">
        <v>68</v>
      </c>
      <c r="H7" s="5" t="s">
        <v>69</v>
      </c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6.05" customHeight="1">
      <c r="A8" s="5" t="s">
        <v>76</v>
      </c>
      <c r="B8" s="4" t="s">
        <v>42</v>
      </c>
      <c r="C8" s="4" t="s">
        <v>77</v>
      </c>
      <c r="D8" s="5" t="s">
        <v>65</v>
      </c>
      <c r="E8" s="4" t="s">
        <v>78</v>
      </c>
      <c r="F8" s="4" t="s">
        <v>79</v>
      </c>
      <c r="G8" s="5" t="s">
        <v>68</v>
      </c>
      <c r="H8" s="5" t="s">
        <v>69</v>
      </c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76.05" customHeight="1">
      <c r="A9" s="5" t="s">
        <v>80</v>
      </c>
      <c r="B9" s="4" t="s">
        <v>42</v>
      </c>
      <c r="C9" s="4" t="s">
        <v>77</v>
      </c>
      <c r="D9" s="5" t="s">
        <v>65</v>
      </c>
      <c r="E9" s="4" t="s">
        <v>81</v>
      </c>
      <c r="F9" s="4" t="s">
        <v>82</v>
      </c>
      <c r="G9" s="5" t="s">
        <v>68</v>
      </c>
      <c r="H9" s="5" t="s">
        <v>69</v>
      </c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76.05" customHeight="1">
      <c r="A10" s="5" t="s">
        <v>83</v>
      </c>
      <c r="B10" s="4" t="s">
        <v>42</v>
      </c>
      <c r="C10" s="4" t="s">
        <v>84</v>
      </c>
      <c r="D10" s="5" t="s">
        <v>65</v>
      </c>
      <c r="E10" s="4" t="s">
        <v>85</v>
      </c>
      <c r="F10" s="4" t="s">
        <v>86</v>
      </c>
      <c r="G10" s="5" t="s">
        <v>68</v>
      </c>
      <c r="H10" s="5" t="s">
        <v>69</v>
      </c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76.05" customHeight="1">
      <c r="A11" s="5" t="s">
        <v>87</v>
      </c>
      <c r="B11" s="4" t="s">
        <v>42</v>
      </c>
      <c r="C11" s="4" t="s">
        <v>84</v>
      </c>
      <c r="D11" s="5" t="s">
        <v>65</v>
      </c>
      <c r="E11" s="4" t="s">
        <v>88</v>
      </c>
      <c r="F11" s="4" t="s">
        <v>89</v>
      </c>
      <c r="G11" s="5" t="s">
        <v>90</v>
      </c>
      <c r="H11" s="5" t="s">
        <v>69</v>
      </c>
      <c r="I11" s="4" t="s">
        <v>91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76.05" customHeight="1">
      <c r="A12" s="5" t="s">
        <v>92</v>
      </c>
      <c r="B12" s="4" t="s">
        <v>42</v>
      </c>
      <c r="C12" s="4" t="s">
        <v>93</v>
      </c>
      <c r="D12" s="5" t="s">
        <v>65</v>
      </c>
      <c r="E12" s="4" t="s">
        <v>94</v>
      </c>
      <c r="F12" s="4" t="s">
        <v>95</v>
      </c>
      <c r="G12" s="5" t="s">
        <v>68</v>
      </c>
      <c r="H12" s="5" t="s">
        <v>69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76.05" customHeight="1">
      <c r="A13" s="5" t="s">
        <v>96</v>
      </c>
      <c r="B13" s="4" t="s">
        <v>42</v>
      </c>
      <c r="C13" s="4" t="s">
        <v>93</v>
      </c>
      <c r="D13" s="5" t="s">
        <v>65</v>
      </c>
      <c r="E13" s="4" t="s">
        <v>97</v>
      </c>
      <c r="F13" s="4" t="s">
        <v>98</v>
      </c>
      <c r="G13" s="5" t="s">
        <v>68</v>
      </c>
      <c r="H13" s="5" t="s">
        <v>69</v>
      </c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76.05" customHeight="1">
      <c r="A14" s="5" t="s">
        <v>99</v>
      </c>
      <c r="B14" s="4" t="s">
        <v>42</v>
      </c>
      <c r="C14" s="4" t="s">
        <v>100</v>
      </c>
      <c r="D14" s="5" t="s">
        <v>65</v>
      </c>
      <c r="E14" s="4" t="s">
        <v>101</v>
      </c>
      <c r="F14" s="4" t="s">
        <v>102</v>
      </c>
      <c r="G14" s="5" t="s">
        <v>68</v>
      </c>
      <c r="H14" s="5" t="s">
        <v>69</v>
      </c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76.05" customHeight="1">
      <c r="A15" s="5" t="s">
        <v>103</v>
      </c>
      <c r="B15" s="4" t="s">
        <v>42</v>
      </c>
      <c r="C15" s="4" t="s">
        <v>100</v>
      </c>
      <c r="D15" s="5" t="s">
        <v>65</v>
      </c>
      <c r="E15" s="4" t="s">
        <v>104</v>
      </c>
      <c r="F15" s="4" t="s">
        <v>105</v>
      </c>
      <c r="G15" s="5" t="s">
        <v>68</v>
      </c>
      <c r="H15" s="5" t="s">
        <v>69</v>
      </c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76.05" customHeight="1">
      <c r="A16" s="5" t="s">
        <v>106</v>
      </c>
      <c r="B16" s="4" t="s">
        <v>42</v>
      </c>
      <c r="C16" s="4" t="s">
        <v>100</v>
      </c>
      <c r="D16" s="5" t="s">
        <v>65</v>
      </c>
      <c r="E16" s="4" t="s">
        <v>107</v>
      </c>
      <c r="F16" s="4" t="s">
        <v>108</v>
      </c>
      <c r="G16" s="5" t="s">
        <v>68</v>
      </c>
      <c r="H16" s="5" t="s">
        <v>69</v>
      </c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76.05" customHeight="1">
      <c r="A17" s="5" t="s">
        <v>109</v>
      </c>
      <c r="B17" s="4" t="s">
        <v>42</v>
      </c>
      <c r="C17" s="4" t="s">
        <v>64</v>
      </c>
      <c r="D17" s="5" t="s">
        <v>110</v>
      </c>
      <c r="E17" s="4" t="s">
        <v>111</v>
      </c>
      <c r="F17" s="4" t="s">
        <v>112</v>
      </c>
      <c r="G17" s="5" t="s">
        <v>113</v>
      </c>
      <c r="H17" s="5" t="s">
        <v>69</v>
      </c>
      <c r="I17" s="4" t="s">
        <v>114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6.05" customHeight="1">
      <c r="A18" s="5" t="s">
        <v>115</v>
      </c>
      <c r="B18" s="4" t="s">
        <v>42</v>
      </c>
      <c r="C18" s="4" t="s">
        <v>64</v>
      </c>
      <c r="D18" s="5" t="s">
        <v>110</v>
      </c>
      <c r="E18" s="4" t="s">
        <v>116</v>
      </c>
      <c r="F18" s="4" t="s">
        <v>117</v>
      </c>
      <c r="G18" s="5" t="s">
        <v>113</v>
      </c>
      <c r="H18" s="5" t="s">
        <v>69</v>
      </c>
      <c r="I18" s="4" t="s">
        <v>118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76.05" customHeight="1">
      <c r="A19" s="5" t="s">
        <v>119</v>
      </c>
      <c r="B19" s="4" t="s">
        <v>42</v>
      </c>
      <c r="C19" s="4" t="s">
        <v>77</v>
      </c>
      <c r="D19" s="5" t="s">
        <v>110</v>
      </c>
      <c r="E19" s="4" t="s">
        <v>120</v>
      </c>
      <c r="F19" s="4" t="s">
        <v>121</v>
      </c>
      <c r="G19" s="5" t="s">
        <v>90</v>
      </c>
      <c r="H19" s="5" t="s">
        <v>69</v>
      </c>
      <c r="I19" s="4" t="s">
        <v>122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76.05" customHeight="1">
      <c r="A20" s="5" t="s">
        <v>123</v>
      </c>
      <c r="B20" s="4" t="s">
        <v>42</v>
      </c>
      <c r="C20" s="4" t="s">
        <v>77</v>
      </c>
      <c r="D20" s="5" t="s">
        <v>110</v>
      </c>
      <c r="E20" s="4" t="s">
        <v>124</v>
      </c>
      <c r="F20" s="4" t="s">
        <v>125</v>
      </c>
      <c r="G20" s="5" t="s">
        <v>113</v>
      </c>
      <c r="H20" s="5" t="s">
        <v>69</v>
      </c>
      <c r="I20" s="4" t="s">
        <v>126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76.05" customHeight="1">
      <c r="A21" s="5" t="s">
        <v>127</v>
      </c>
      <c r="B21" s="4" t="s">
        <v>42</v>
      </c>
      <c r="C21" s="4" t="s">
        <v>77</v>
      </c>
      <c r="D21" s="5" t="s">
        <v>110</v>
      </c>
      <c r="E21" s="4" t="s">
        <v>128</v>
      </c>
      <c r="F21" s="4" t="s">
        <v>129</v>
      </c>
      <c r="G21" s="5" t="s">
        <v>90</v>
      </c>
      <c r="H21" s="5" t="s">
        <v>69</v>
      </c>
      <c r="I21" s="4" t="s">
        <v>130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76.05" customHeight="1">
      <c r="A22" s="5" t="s">
        <v>131</v>
      </c>
      <c r="B22" s="4" t="s">
        <v>42</v>
      </c>
      <c r="C22" s="4" t="s">
        <v>84</v>
      </c>
      <c r="D22" s="5" t="s">
        <v>110</v>
      </c>
      <c r="E22" s="4" t="s">
        <v>132</v>
      </c>
      <c r="F22" s="4" t="s">
        <v>133</v>
      </c>
      <c r="G22" s="5" t="s">
        <v>68</v>
      </c>
      <c r="H22" s="5" t="s">
        <v>69</v>
      </c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76.05" customHeight="1">
      <c r="A23" s="5" t="s">
        <v>134</v>
      </c>
      <c r="B23" s="4" t="s">
        <v>42</v>
      </c>
      <c r="C23" s="4" t="s">
        <v>84</v>
      </c>
      <c r="D23" s="5" t="s">
        <v>110</v>
      </c>
      <c r="E23" s="4" t="s">
        <v>135</v>
      </c>
      <c r="F23" s="4" t="s">
        <v>136</v>
      </c>
      <c r="G23" s="5" t="s">
        <v>68</v>
      </c>
      <c r="H23" s="5" t="s">
        <v>69</v>
      </c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76.05" customHeight="1">
      <c r="A24" s="5" t="s">
        <v>137</v>
      </c>
      <c r="B24" s="4" t="s">
        <v>42</v>
      </c>
      <c r="C24" s="4" t="s">
        <v>84</v>
      </c>
      <c r="D24" s="5" t="s">
        <v>110</v>
      </c>
      <c r="E24" s="4" t="s">
        <v>138</v>
      </c>
      <c r="F24" s="4" t="s">
        <v>139</v>
      </c>
      <c r="G24" s="5" t="s">
        <v>68</v>
      </c>
      <c r="H24" s="5" t="s">
        <v>69</v>
      </c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76.05" customHeight="1">
      <c r="A25" s="5" t="s">
        <v>140</v>
      </c>
      <c r="B25" s="4" t="s">
        <v>42</v>
      </c>
      <c r="C25" s="4" t="s">
        <v>93</v>
      </c>
      <c r="D25" s="5" t="s">
        <v>110</v>
      </c>
      <c r="E25" s="4" t="s">
        <v>141</v>
      </c>
      <c r="F25" s="4" t="s">
        <v>142</v>
      </c>
      <c r="G25" s="5" t="s">
        <v>68</v>
      </c>
      <c r="H25" s="5" t="s">
        <v>69</v>
      </c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76.05" customHeight="1">
      <c r="A26" s="5" t="s">
        <v>143</v>
      </c>
      <c r="B26" s="4" t="s">
        <v>42</v>
      </c>
      <c r="C26" s="4" t="s">
        <v>93</v>
      </c>
      <c r="D26" s="5" t="s">
        <v>110</v>
      </c>
      <c r="E26" s="4" t="s">
        <v>144</v>
      </c>
      <c r="F26" s="4" t="s">
        <v>145</v>
      </c>
      <c r="G26" s="5" t="s">
        <v>68</v>
      </c>
      <c r="H26" s="5" t="s">
        <v>69</v>
      </c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76.05" customHeight="1">
      <c r="A27" s="5" t="s">
        <v>146</v>
      </c>
      <c r="B27" s="4" t="s">
        <v>42</v>
      </c>
      <c r="C27" s="4" t="s">
        <v>100</v>
      </c>
      <c r="D27" s="5" t="s">
        <v>110</v>
      </c>
      <c r="E27" s="4" t="s">
        <v>147</v>
      </c>
      <c r="F27" s="4" t="s">
        <v>148</v>
      </c>
      <c r="G27" s="5" t="s">
        <v>90</v>
      </c>
      <c r="H27" s="5" t="s">
        <v>69</v>
      </c>
      <c r="I27" s="4" t="s">
        <v>149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76.05" customHeight="1">
      <c r="A28" s="5" t="s">
        <v>150</v>
      </c>
      <c r="B28" s="4" t="s">
        <v>42</v>
      </c>
      <c r="C28" s="4" t="s">
        <v>100</v>
      </c>
      <c r="D28" s="5" t="s">
        <v>110</v>
      </c>
      <c r="E28" s="4" t="s">
        <v>151</v>
      </c>
      <c r="F28" s="4" t="s">
        <v>152</v>
      </c>
      <c r="G28" s="5" t="s">
        <v>68</v>
      </c>
      <c r="H28" s="5" t="s">
        <v>69</v>
      </c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76.05" customHeight="1">
      <c r="A29" s="5" t="s">
        <v>153</v>
      </c>
      <c r="B29" s="4" t="s">
        <v>42</v>
      </c>
      <c r="C29" s="4" t="s">
        <v>64</v>
      </c>
      <c r="D29" s="5" t="s">
        <v>154</v>
      </c>
      <c r="E29" s="4" t="s">
        <v>155</v>
      </c>
      <c r="F29" s="4" t="s">
        <v>156</v>
      </c>
      <c r="G29" s="5" t="s">
        <v>68</v>
      </c>
      <c r="H29" s="5" t="s">
        <v>69</v>
      </c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76.05" customHeight="1">
      <c r="A30" s="5" t="s">
        <v>157</v>
      </c>
      <c r="B30" s="4" t="s">
        <v>42</v>
      </c>
      <c r="C30" s="4" t="s">
        <v>64</v>
      </c>
      <c r="D30" s="5" t="s">
        <v>154</v>
      </c>
      <c r="E30" s="4" t="s">
        <v>158</v>
      </c>
      <c r="F30" s="4" t="s">
        <v>159</v>
      </c>
      <c r="G30" s="5" t="s">
        <v>90</v>
      </c>
      <c r="H30" s="5" t="s">
        <v>69</v>
      </c>
      <c r="I30" s="4" t="s">
        <v>160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76.05" customHeight="1">
      <c r="A31" s="5" t="s">
        <v>161</v>
      </c>
      <c r="B31" s="4" t="s">
        <v>42</v>
      </c>
      <c r="C31" s="4" t="s">
        <v>77</v>
      </c>
      <c r="D31" s="5" t="s">
        <v>154</v>
      </c>
      <c r="E31" s="4" t="s">
        <v>162</v>
      </c>
      <c r="F31" s="4" t="s">
        <v>163</v>
      </c>
      <c r="G31" s="5" t="s">
        <v>90</v>
      </c>
      <c r="H31" s="5" t="s">
        <v>69</v>
      </c>
      <c r="I31" s="4" t="s">
        <v>164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76.05" customHeight="1">
      <c r="A32" s="5" t="s">
        <v>165</v>
      </c>
      <c r="B32" s="4" t="s">
        <v>42</v>
      </c>
      <c r="C32" s="4" t="s">
        <v>77</v>
      </c>
      <c r="D32" s="5" t="s">
        <v>154</v>
      </c>
      <c r="E32" s="4" t="s">
        <v>166</v>
      </c>
      <c r="F32" s="4" t="s">
        <v>167</v>
      </c>
      <c r="G32" s="5" t="s">
        <v>68</v>
      </c>
      <c r="H32" s="5" t="s">
        <v>69</v>
      </c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76.05" customHeight="1">
      <c r="A33" s="5" t="s">
        <v>168</v>
      </c>
      <c r="B33" s="4" t="s">
        <v>42</v>
      </c>
      <c r="C33" s="4" t="s">
        <v>84</v>
      </c>
      <c r="D33" s="5" t="s">
        <v>154</v>
      </c>
      <c r="E33" s="4" t="s">
        <v>169</v>
      </c>
      <c r="F33" s="4" t="s">
        <v>170</v>
      </c>
      <c r="G33" s="5" t="s">
        <v>68</v>
      </c>
      <c r="H33" s="5" t="s">
        <v>69</v>
      </c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76.05" customHeight="1">
      <c r="A34" s="5" t="s">
        <v>171</v>
      </c>
      <c r="B34" s="4" t="s">
        <v>42</v>
      </c>
      <c r="C34" s="4" t="s">
        <v>84</v>
      </c>
      <c r="D34" s="5" t="s">
        <v>154</v>
      </c>
      <c r="E34" s="4" t="s">
        <v>172</v>
      </c>
      <c r="F34" s="4" t="s">
        <v>173</v>
      </c>
      <c r="G34" s="5" t="s">
        <v>68</v>
      </c>
      <c r="H34" s="5" t="s">
        <v>69</v>
      </c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76.05" customHeight="1">
      <c r="A35" s="5" t="s">
        <v>174</v>
      </c>
      <c r="B35" s="4" t="s">
        <v>42</v>
      </c>
      <c r="C35" s="4" t="s">
        <v>93</v>
      </c>
      <c r="D35" s="5" t="s">
        <v>154</v>
      </c>
      <c r="E35" s="4" t="s">
        <v>175</v>
      </c>
      <c r="F35" s="4" t="s">
        <v>176</v>
      </c>
      <c r="G35" s="5" t="s">
        <v>68</v>
      </c>
      <c r="H35" s="5" t="s">
        <v>69</v>
      </c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76.05" customHeight="1">
      <c r="A36" s="5" t="s">
        <v>177</v>
      </c>
      <c r="B36" s="4" t="s">
        <v>42</v>
      </c>
      <c r="C36" s="4" t="s">
        <v>93</v>
      </c>
      <c r="D36" s="5" t="s">
        <v>154</v>
      </c>
      <c r="E36" s="4" t="s">
        <v>178</v>
      </c>
      <c r="F36" s="4" t="s">
        <v>179</v>
      </c>
      <c r="G36" s="5" t="s">
        <v>68</v>
      </c>
      <c r="H36" s="5" t="s">
        <v>69</v>
      </c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76.05" customHeight="1">
      <c r="A37" s="5" t="s">
        <v>180</v>
      </c>
      <c r="B37" s="4" t="s">
        <v>42</v>
      </c>
      <c r="C37" s="4" t="s">
        <v>100</v>
      </c>
      <c r="D37" s="5" t="s">
        <v>154</v>
      </c>
      <c r="E37" s="4" t="s">
        <v>181</v>
      </c>
      <c r="F37" s="4" t="s">
        <v>182</v>
      </c>
      <c r="G37" s="5" t="s">
        <v>90</v>
      </c>
      <c r="H37" s="5" t="s">
        <v>69</v>
      </c>
      <c r="I37" s="4" t="s">
        <v>183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76.05" customHeight="1">
      <c r="A38" s="5" t="s">
        <v>184</v>
      </c>
      <c r="B38" s="4" t="s">
        <v>42</v>
      </c>
      <c r="C38" s="4" t="s">
        <v>100</v>
      </c>
      <c r="D38" s="5" t="s">
        <v>154</v>
      </c>
      <c r="E38" s="4" t="s">
        <v>185</v>
      </c>
      <c r="F38" s="4" t="s">
        <v>186</v>
      </c>
      <c r="G38" s="5" t="s">
        <v>90</v>
      </c>
      <c r="H38" s="5" t="s">
        <v>69</v>
      </c>
      <c r="I38" s="4" t="s">
        <v>187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76.05" customHeight="1">
      <c r="A39" s="5" t="s">
        <v>188</v>
      </c>
      <c r="B39" s="4" t="s">
        <v>42</v>
      </c>
      <c r="C39" s="4" t="s">
        <v>64</v>
      </c>
      <c r="D39" s="5" t="s">
        <v>189</v>
      </c>
      <c r="E39" s="4" t="s">
        <v>190</v>
      </c>
      <c r="F39" s="4" t="s">
        <v>191</v>
      </c>
      <c r="G39" s="5" t="s">
        <v>68</v>
      </c>
      <c r="H39" s="5" t="s">
        <v>69</v>
      </c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76.05" customHeight="1">
      <c r="A40" s="5" t="s">
        <v>192</v>
      </c>
      <c r="B40" s="4" t="s">
        <v>42</v>
      </c>
      <c r="C40" s="4" t="s">
        <v>64</v>
      </c>
      <c r="D40" s="5" t="s">
        <v>189</v>
      </c>
      <c r="E40" s="4" t="s">
        <v>193</v>
      </c>
      <c r="F40" s="4" t="s">
        <v>194</v>
      </c>
      <c r="G40" s="5" t="s">
        <v>90</v>
      </c>
      <c r="H40" s="5" t="s">
        <v>69</v>
      </c>
      <c r="I40" s="4" t="s">
        <v>195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76.05" customHeight="1">
      <c r="A41" s="5" t="s">
        <v>196</v>
      </c>
      <c r="B41" s="4" t="s">
        <v>42</v>
      </c>
      <c r="C41" s="4" t="s">
        <v>77</v>
      </c>
      <c r="D41" s="5" t="s">
        <v>189</v>
      </c>
      <c r="E41" s="4" t="s">
        <v>197</v>
      </c>
      <c r="F41" s="4" t="s">
        <v>198</v>
      </c>
      <c r="G41" s="5" t="s">
        <v>68</v>
      </c>
      <c r="H41" s="5" t="s">
        <v>69</v>
      </c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76.05" customHeight="1">
      <c r="A42" s="5" t="s">
        <v>199</v>
      </c>
      <c r="B42" s="4" t="s">
        <v>42</v>
      </c>
      <c r="C42" s="4" t="s">
        <v>77</v>
      </c>
      <c r="D42" s="5" t="s">
        <v>189</v>
      </c>
      <c r="E42" s="4" t="s">
        <v>200</v>
      </c>
      <c r="F42" s="4" t="s">
        <v>201</v>
      </c>
      <c r="G42" s="5" t="s">
        <v>90</v>
      </c>
      <c r="H42" s="5" t="s">
        <v>69</v>
      </c>
      <c r="I42" s="4" t="s">
        <v>202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76.05" customHeight="1">
      <c r="A43" s="5" t="s">
        <v>203</v>
      </c>
      <c r="B43" s="4" t="s">
        <v>42</v>
      </c>
      <c r="C43" s="4" t="s">
        <v>84</v>
      </c>
      <c r="D43" s="5" t="s">
        <v>189</v>
      </c>
      <c r="E43" s="4" t="s">
        <v>204</v>
      </c>
      <c r="F43" s="4" t="s">
        <v>205</v>
      </c>
      <c r="G43" s="5" t="s">
        <v>68</v>
      </c>
      <c r="H43" s="5" t="s">
        <v>69</v>
      </c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76.05" customHeight="1">
      <c r="A44" s="5" t="s">
        <v>206</v>
      </c>
      <c r="B44" s="4" t="s">
        <v>42</v>
      </c>
      <c r="C44" s="4" t="s">
        <v>84</v>
      </c>
      <c r="D44" s="5" t="s">
        <v>189</v>
      </c>
      <c r="E44" s="4" t="s">
        <v>207</v>
      </c>
      <c r="F44" s="4" t="s">
        <v>208</v>
      </c>
      <c r="G44" s="5" t="s">
        <v>68</v>
      </c>
      <c r="H44" s="5" t="s">
        <v>69</v>
      </c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76.05" customHeight="1">
      <c r="A45" s="5" t="s">
        <v>209</v>
      </c>
      <c r="B45" s="4" t="s">
        <v>42</v>
      </c>
      <c r="C45" s="4" t="s">
        <v>93</v>
      </c>
      <c r="D45" s="5" t="s">
        <v>189</v>
      </c>
      <c r="E45" s="4" t="s">
        <v>210</v>
      </c>
      <c r="F45" s="4" t="s">
        <v>95</v>
      </c>
      <c r="G45" s="5" t="s">
        <v>68</v>
      </c>
      <c r="H45" s="5" t="s">
        <v>69</v>
      </c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76.05" customHeight="1">
      <c r="A46" s="5" t="s">
        <v>211</v>
      </c>
      <c r="B46" s="4" t="s">
        <v>42</v>
      </c>
      <c r="C46" s="4" t="s">
        <v>93</v>
      </c>
      <c r="D46" s="5" t="s">
        <v>189</v>
      </c>
      <c r="E46" s="4" t="s">
        <v>212</v>
      </c>
      <c r="F46" s="4" t="s">
        <v>213</v>
      </c>
      <c r="G46" s="5" t="s">
        <v>68</v>
      </c>
      <c r="H46" s="5" t="s">
        <v>69</v>
      </c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76.05" customHeight="1">
      <c r="A47" s="5" t="s">
        <v>214</v>
      </c>
      <c r="B47" s="4" t="s">
        <v>42</v>
      </c>
      <c r="C47" s="4" t="s">
        <v>93</v>
      </c>
      <c r="D47" s="5" t="s">
        <v>189</v>
      </c>
      <c r="E47" s="4" t="s">
        <v>215</v>
      </c>
      <c r="F47" s="4" t="s">
        <v>216</v>
      </c>
      <c r="G47" s="5" t="s">
        <v>90</v>
      </c>
      <c r="H47" s="5" t="s">
        <v>69</v>
      </c>
      <c r="I47" s="4" t="s">
        <v>217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76.05" customHeight="1">
      <c r="A48" s="5" t="s">
        <v>218</v>
      </c>
      <c r="B48" s="4" t="s">
        <v>42</v>
      </c>
      <c r="C48" s="4" t="s">
        <v>100</v>
      </c>
      <c r="D48" s="5" t="s">
        <v>189</v>
      </c>
      <c r="E48" s="4" t="s">
        <v>219</v>
      </c>
      <c r="F48" s="4" t="s">
        <v>220</v>
      </c>
      <c r="G48" s="5" t="s">
        <v>90</v>
      </c>
      <c r="H48" s="5" t="s">
        <v>69</v>
      </c>
      <c r="I48" s="4" t="s">
        <v>221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76.05" customHeight="1">
      <c r="A49" s="5" t="s">
        <v>222</v>
      </c>
      <c r="B49" s="4" t="s">
        <v>42</v>
      </c>
      <c r="C49" s="4" t="s">
        <v>100</v>
      </c>
      <c r="D49" s="5" t="s">
        <v>189</v>
      </c>
      <c r="E49" s="4" t="s">
        <v>223</v>
      </c>
      <c r="F49" s="4" t="s">
        <v>224</v>
      </c>
      <c r="G49" s="5" t="s">
        <v>68</v>
      </c>
      <c r="H49" s="5" t="s">
        <v>69</v>
      </c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76.05" customHeight="1">
      <c r="A50" s="5" t="s">
        <v>225</v>
      </c>
      <c r="B50" s="4" t="s">
        <v>42</v>
      </c>
      <c r="C50" s="4" t="s">
        <v>100</v>
      </c>
      <c r="D50" s="5" t="s">
        <v>189</v>
      </c>
      <c r="E50" s="4" t="s">
        <v>226</v>
      </c>
      <c r="F50" s="4" t="s">
        <v>227</v>
      </c>
      <c r="G50" s="5" t="s">
        <v>90</v>
      </c>
      <c r="H50" s="5" t="s">
        <v>69</v>
      </c>
      <c r="I50" s="4" t="s">
        <v>228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76.05" customHeight="1">
      <c r="A51" s="5" t="s">
        <v>234</v>
      </c>
      <c r="B51" s="4" t="s">
        <v>261</v>
      </c>
      <c r="C51" s="4" t="s">
        <v>64</v>
      </c>
      <c r="D51" s="5" t="s">
        <v>189</v>
      </c>
      <c r="E51" s="4" t="s">
        <v>235</v>
      </c>
      <c r="F51" s="4" t="s">
        <v>236</v>
      </c>
      <c r="G51" s="5" t="s">
        <v>68</v>
      </c>
      <c r="H51" s="5" t="s">
        <v>237</v>
      </c>
      <c r="I51" s="4" t="s">
        <v>238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76.05" customHeight="1">
      <c r="A52" s="5" t="s">
        <v>239</v>
      </c>
      <c r="B52" s="4" t="s">
        <v>261</v>
      </c>
      <c r="C52" s="4" t="s">
        <v>100</v>
      </c>
      <c r="D52" s="5" t="s">
        <v>110</v>
      </c>
      <c r="E52" s="4" t="s">
        <v>240</v>
      </c>
      <c r="F52" s="4" t="s">
        <v>241</v>
      </c>
      <c r="G52" s="5" t="s">
        <v>68</v>
      </c>
      <c r="H52" s="5" t="s">
        <v>237</v>
      </c>
      <c r="I52" s="4" t="s">
        <v>242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76.05" customHeight="1">
      <c r="A53" s="5" t="s">
        <v>243</v>
      </c>
      <c r="B53" s="4" t="s">
        <v>261</v>
      </c>
      <c r="C53" s="4" t="s">
        <v>84</v>
      </c>
      <c r="D53" s="5" t="s">
        <v>65</v>
      </c>
      <c r="E53" s="4" t="s">
        <v>244</v>
      </c>
      <c r="F53" s="4" t="s">
        <v>245</v>
      </c>
      <c r="G53" s="5" t="s">
        <v>90</v>
      </c>
      <c r="H53" s="5" t="s">
        <v>237</v>
      </c>
      <c r="I53" s="4" t="s">
        <v>246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76.05" customHeight="1">
      <c r="A54" s="5" t="s">
        <v>247</v>
      </c>
      <c r="B54" s="4" t="s">
        <v>261</v>
      </c>
      <c r="C54" s="4" t="s">
        <v>77</v>
      </c>
      <c r="D54" s="5" t="s">
        <v>189</v>
      </c>
      <c r="E54" s="4" t="s">
        <v>248</v>
      </c>
      <c r="F54" s="4" t="s">
        <v>249</v>
      </c>
      <c r="G54" s="5" t="s">
        <v>90</v>
      </c>
      <c r="H54" s="5" t="s">
        <v>237</v>
      </c>
      <c r="I54" s="4" t="s">
        <v>250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76.05" customHeight="1">
      <c r="A55" s="5" t="s">
        <v>251</v>
      </c>
      <c r="B55" s="4" t="s">
        <v>261</v>
      </c>
      <c r="C55" s="4" t="s">
        <v>64</v>
      </c>
      <c r="D55" s="5" t="s">
        <v>189</v>
      </c>
      <c r="E55" s="4" t="s">
        <v>252</v>
      </c>
      <c r="F55" s="4" t="s">
        <v>253</v>
      </c>
      <c r="G55" s="5" t="s">
        <v>90</v>
      </c>
      <c r="H55" s="5" t="s">
        <v>237</v>
      </c>
      <c r="I55" s="4" t="s">
        <v>254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I1"/>
    <mergeCell ref="A2:I2"/>
  </mergeCells>
  <conditionalFormatting sqref="G5:G55">
    <cfRule type="expression" dxfId="4" priority="1">
      <formula>G5="PASSED"</formula>
    </cfRule>
    <cfRule type="expression" dxfId="3" priority="2">
      <formula>G5="FAILED"</formula>
    </cfRule>
    <cfRule type="expression" dxfId="2" priority="3">
      <formula>G5="BLOCKED"</formula>
    </cfRule>
  </conditionalFormatting>
  <conditionalFormatting sqref="H5:H55">
    <cfRule type="expression" dxfId="1" priority="4">
      <formula>H5="AI"</formula>
    </cfRule>
    <cfRule type="expression" dxfId="0" priority="5">
      <formula>H5="Human"</formula>
    </cfRule>
  </conditionalFormatting>
  <dataValidations count="3">
    <dataValidation type="list" sqref="G5:G55" xr:uid="{00000000-0002-0000-0300-000000000000}">
      <formula1>"PASSED,FAILED,BLOCKED"</formula1>
    </dataValidation>
    <dataValidation type="list" sqref="D5:D55" xr:uid="{00000000-0002-0000-0300-000001000000}">
      <formula1>"IA-01,IA-02,IA-03,IA-04"</formula1>
    </dataValidation>
    <dataValidation type="list" sqref="H5:H55" xr:uid="{00000000-0002-0000-0300-000002000000}">
      <formula1>"AI,Human"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tabSelected="1" workbookViewId="0">
      <selection activeCell="L11" sqref="L11"/>
    </sheetView>
  </sheetViews>
  <sheetFormatPr defaultRowHeight="13.8"/>
  <cols>
    <col min="1" max="1" width="30" customWidth="1"/>
    <col min="2" max="5" width="14" customWidth="1"/>
  </cols>
  <sheetData>
    <row r="1" spans="1:26" ht="14.4">
      <c r="A1" s="6" t="s">
        <v>263</v>
      </c>
      <c r="B1" s="6"/>
      <c r="C1" s="6"/>
      <c r="D1" s="6"/>
      <c r="E1" s="6"/>
      <c r="F1" s="6"/>
      <c r="G1" s="6"/>
      <c r="H1" s="6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6"/>
      <c r="B2" s="6"/>
      <c r="C2" s="6"/>
      <c r="D2" s="6"/>
      <c r="E2" s="6"/>
      <c r="F2" s="6"/>
      <c r="G2" s="6"/>
      <c r="H2" s="6"/>
      <c r="I2" s="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7" t="s">
        <v>262</v>
      </c>
      <c r="B3" s="7"/>
      <c r="C3" s="7"/>
      <c r="D3" s="7"/>
      <c r="E3" s="7"/>
      <c r="F3" s="7"/>
      <c r="G3" s="7"/>
      <c r="H3" s="7"/>
      <c r="I3" s="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>
      <c r="A5" s="2" t="s">
        <v>57</v>
      </c>
      <c r="B5" s="2" t="s">
        <v>25</v>
      </c>
      <c r="C5" s="2" t="s">
        <v>38</v>
      </c>
      <c r="D5" s="2" t="s">
        <v>39</v>
      </c>
      <c r="E5" s="2" t="s">
        <v>40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>
      <c r="A6" s="4" t="s">
        <v>65</v>
      </c>
      <c r="B6" s="5">
        <f>COUNTIF('03_All Items'!$D$5:$D$55,A6)</f>
        <v>13</v>
      </c>
      <c r="C6" s="5">
        <f>COUNTIFS('03_All Items'!$D$5:$D$55,A6,'03_All Items'!$G$5:$G$55,"PASSED")</f>
        <v>11</v>
      </c>
      <c r="D6" s="5">
        <f>COUNTIFS('03_All Items'!$D$5:$D$55,A6,'03_All Items'!$G$5:$G$55,"FAILED")</f>
        <v>2</v>
      </c>
      <c r="E6" s="5">
        <f>COUNTIFS('03_All Items'!$D$5:$D$55,A6,'03_All Items'!$G$5:$G$55,"BLOCKED")</f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>
      <c r="A7" s="4" t="s">
        <v>110</v>
      </c>
      <c r="B7" s="5">
        <f>COUNTIF('03_All Items'!$D$5:$D$55,A7)</f>
        <v>13</v>
      </c>
      <c r="C7" s="5">
        <f>COUNTIFS('03_All Items'!$D$5:$D$55,A7,'03_All Items'!$G$5:$G$55,"PASSED")</f>
        <v>7</v>
      </c>
      <c r="D7" s="5">
        <f>COUNTIFS('03_All Items'!$D$5:$D$55,A7,'03_All Items'!$G$5:$G$55,"FAILED")</f>
        <v>3</v>
      </c>
      <c r="E7" s="5">
        <f>COUNTIFS('03_All Items'!$D$5:$D$55,A7,'03_All Items'!$G$5:$G$55,"BLOCKED")</f>
        <v>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4">
      <c r="A8" s="4" t="s">
        <v>154</v>
      </c>
      <c r="B8" s="5">
        <f>COUNTIF('03_All Items'!$D$5:$D$55,A8)</f>
        <v>10</v>
      </c>
      <c r="C8" s="5">
        <f>COUNTIFS('03_All Items'!$D$5:$D$55,A8,'03_All Items'!$G$5:$G$55,"PASSED")</f>
        <v>6</v>
      </c>
      <c r="D8" s="5">
        <f>COUNTIFS('03_All Items'!$D$5:$D$55,A8,'03_All Items'!$G$5:$G$55,"FAILED")</f>
        <v>4</v>
      </c>
      <c r="E8" s="5">
        <f>COUNTIFS('03_All Items'!$D$5:$D$55,A8,'03_All Items'!$G$5:$G$55,"BLOCKED")</f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4">
      <c r="A9" s="4" t="s">
        <v>189</v>
      </c>
      <c r="B9" s="5">
        <f>COUNTIF('03_All Items'!$D$5:$D$55,A9)</f>
        <v>15</v>
      </c>
      <c r="C9" s="5">
        <f>COUNTIFS('03_All Items'!$D$5:$D$55,A9,'03_All Items'!$G$5:$G$55,"PASSED")</f>
        <v>8</v>
      </c>
      <c r="D9" s="5">
        <f>COUNTIFS('03_All Items'!$D$5:$D$55,A9,'03_All Items'!$G$5:$G$55,"FAILED")</f>
        <v>7</v>
      </c>
      <c r="E9" s="5">
        <f>COUNTIFS('03_All Items'!$D$5:$D$55,A9,'03_All Items'!$G$5:$G$55,"BLOCKED")</f>
        <v>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2" t="s">
        <v>56</v>
      </c>
      <c r="B13" s="2" t="s">
        <v>25</v>
      </c>
      <c r="C13" s="2" t="s">
        <v>38</v>
      </c>
      <c r="D13" s="2" t="s">
        <v>39</v>
      </c>
      <c r="E13" s="2" t="s">
        <v>40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4" t="s">
        <v>64</v>
      </c>
      <c r="B14" s="5">
        <f>COUNTIF('03_All Items'!$C$5:$C$55,A14)</f>
        <v>11</v>
      </c>
      <c r="C14" s="5">
        <f>COUNTIFS('03_All Items'!$C$5:$C$55,A14,'03_All Items'!$G$5:$G$55,"PASSED")</f>
        <v>6</v>
      </c>
      <c r="D14" s="5">
        <f>COUNTIFS('03_All Items'!$C$5:$C$55,A14,'03_All Items'!$G$5:$G$55,"FAILED")</f>
        <v>3</v>
      </c>
      <c r="E14" s="5">
        <f>COUNTIFS('03_All Items'!$C$5:$C$55,A14,'03_All Items'!$G$5:$G$55,"BLOCKED")</f>
        <v>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4" t="s">
        <v>77</v>
      </c>
      <c r="B15" s="5">
        <f>COUNTIF('03_All Items'!$C$5:$C$55,A15)</f>
        <v>10</v>
      </c>
      <c r="C15" s="5">
        <f>COUNTIFS('03_All Items'!$C$5:$C$55,A15,'03_All Items'!$G$5:$G$55,"PASSED")</f>
        <v>4</v>
      </c>
      <c r="D15" s="5">
        <f>COUNTIFS('03_All Items'!$C$5:$C$55,A15,'03_All Items'!$G$5:$G$55,"FAILED")</f>
        <v>5</v>
      </c>
      <c r="E15" s="5">
        <f>COUNTIFS('03_All Items'!$C$5:$C$55,A15,'03_All Items'!$G$5:$G$55,"BLOCKED")</f>
        <v>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4" t="s">
        <v>84</v>
      </c>
      <c r="B16" s="5">
        <f>COUNTIF('03_All Items'!$C$5:$C$55,A16)</f>
        <v>10</v>
      </c>
      <c r="C16" s="5">
        <f>COUNTIFS('03_All Items'!$C$5:$C$55,A16,'03_All Items'!$G$5:$G$55,"PASSED")</f>
        <v>8</v>
      </c>
      <c r="D16" s="5">
        <f>COUNTIFS('03_All Items'!$C$5:$C$55,A16,'03_All Items'!$G$5:$G$55,"FAILED")</f>
        <v>2</v>
      </c>
      <c r="E16" s="5">
        <f>COUNTIFS('03_All Items'!$C$5:$C$55,A16,'03_All Items'!$G$5:$G$55,"BLOCKED")</f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4" t="s">
        <v>93</v>
      </c>
      <c r="B17" s="5">
        <f>COUNTIF('03_All Items'!$C$5:$C$55,A17)</f>
        <v>9</v>
      </c>
      <c r="C17" s="5">
        <f>COUNTIFS('03_All Items'!$C$5:$C$55,A17,'03_All Items'!$G$5:$G$55,"PASSED")</f>
        <v>8</v>
      </c>
      <c r="D17" s="5">
        <f>COUNTIFS('03_All Items'!$C$5:$C$55,A17,'03_All Items'!$G$5:$G$55,"FAILED")</f>
        <v>1</v>
      </c>
      <c r="E17" s="5">
        <f>COUNTIFS('03_All Items'!$C$5:$C$55,A17,'03_All Items'!$G$5:$G$55,"BLOCKED")</f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4" t="s">
        <v>100</v>
      </c>
      <c r="B18" s="5">
        <f>COUNTIF('03_All Items'!$C$5:$C$55,A18)</f>
        <v>11</v>
      </c>
      <c r="C18" s="5">
        <f>COUNTIFS('03_All Items'!$C$5:$C$55,A18,'03_All Items'!$G$5:$G$55,"PASSED")</f>
        <v>6</v>
      </c>
      <c r="D18" s="5">
        <f>COUNTIFS('03_All Items'!$C$5:$C$55,A18,'03_All Items'!$G$5:$G$55,"FAILED")</f>
        <v>5</v>
      </c>
      <c r="E18" s="5">
        <f>COUNTIFS('03_All Items'!$C$5:$C$55,A18,'03_All Items'!$G$5:$G$55,"BLOCKED")</f>
        <v>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I2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00_Overview</vt:lpstr>
      <vt:lpstr>01_GUI Checklist</vt:lpstr>
      <vt:lpstr>02_Human Review</vt:lpstr>
      <vt:lpstr>03_All Items</vt:lpstr>
      <vt:lpstr>04_Analysis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MINH QUANG</cp:lastModifiedBy>
  <dcterms:modified xsi:type="dcterms:W3CDTF">2026-08-01T11:56:55Z</dcterms:modified>
</cp:coreProperties>
</file>