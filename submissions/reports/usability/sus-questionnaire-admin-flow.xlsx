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ướng dẫn" sheetId="1" r:id="rId4"/>
    <sheet state="visible" name="Tổng hợp" sheetId="2" r:id="rId5"/>
    <sheet state="visible" name="P01" sheetId="3" r:id="rId6"/>
    <sheet state="visible" name="P02" sheetId="4" r:id="rId7"/>
    <sheet state="visible" name="P03" sheetId="5" r:id="rId8"/>
    <sheet state="visible" name="P04" sheetId="6" r:id="rId9"/>
    <sheet state="visible" name="P05" sheetId="7" r:id="rId10"/>
    <sheet state="visible" name="P06" sheetId="8" r:id="rId11"/>
    <sheet state="visible" name="P07" sheetId="9" r:id="rId12"/>
  </sheets>
  <definedNames/>
  <calcPr/>
  <extLst>
    <ext uri="GoogleSheetsCustomDataVersion2">
      <go:sheetsCustomData xmlns:go="http://customooxmlschemas.google.com/" r:id="rId13" roundtripDataChecksum="APrpEzZ3uR6z6ZaeL9UAC25aj9WRfycOFB3c7ljrqSg="/>
    </ext>
  </extLst>
</workbook>
</file>

<file path=xl/sharedStrings.xml><?xml version="1.0" encoding="utf-8"?>
<sst xmlns="http://schemas.openxmlformats.org/spreadsheetml/2006/main" count="553" uniqueCount="166">
  <si>
    <t xml:space="preserve"> </t>
  </si>
  <si>
    <t>Tổng hợp SUS</t>
  </si>
  <si>
    <t>Mục đích</t>
  </si>
  <si>
    <t>Bảng câu hỏi SUS và câu hỏi mở - P02</t>
  </si>
  <si>
    <t>Bảng câu hỏi SUS và câu hỏi mở - P01</t>
  </si>
  <si>
    <t>Participant</t>
  </si>
  <si>
    <t>Thu thập SUS và câu hỏi mở cho Task 2 Usability Evaluation flow Admin EShop.</t>
  </si>
  <si>
    <t>Participant ID</t>
  </si>
  <si>
    <t>SUS score</t>
  </si>
  <si>
    <t>P02</t>
  </si>
  <si>
    <t>P01</t>
  </si>
  <si>
    <t>Flow</t>
  </si>
  <si>
    <t>Admin Login -&gt; View Dashboard -&gt; Create Category -&gt; Create/Edit/Delete Product -&gt; Import Products by CSV -&gt; Inspect/Delete User</t>
  </si>
  <si>
    <t>Cách điền</t>
  </si>
  <si>
    <t>Mỗi participant điền đúng sheet của mình: P01, P02, ..., P07.</t>
  </si>
  <si>
    <t>Tên người tham gia</t>
  </si>
  <si>
    <t>Thang SUS</t>
  </si>
  <si>
    <t>Tống Nguyễn Nhật Tiến</t>
  </si>
  <si>
    <t>1 = Hoàn toàn không đồng ý; 2 = Không đồng ý; 3 = Trung lập; 4 = Đồng ý; 5 = Hoàn toàn đồng ý.</t>
  </si>
  <si>
    <t>Nguyễn Tuấn Anh</t>
  </si>
  <si>
    <t>Ngày/giờ session</t>
  </si>
  <si>
    <t>Câu hỏi mở</t>
  </si>
  <si>
    <t>17:45 02/08/2026</t>
  </si>
  <si>
    <t>15:00 02/08/2026</t>
  </si>
  <si>
    <t>Điền ngay sau SUS trong cùng sheet participant. Có thể trả lời ngắn nhưng nên nêu lý do cụ thể.</t>
  </si>
  <si>
    <t>Thiết bị/browser</t>
  </si>
  <si>
    <t>Window - Chrome</t>
  </si>
  <si>
    <t>Lưu ý</t>
  </si>
  <si>
    <t>Macbook - Chrome</t>
  </si>
  <si>
    <t>ID</t>
  </si>
  <si>
    <t>Không điền dữ liệu giả. Contact và thông tin participant quản lý ở file participants.md, không bắt buộc ghi đầy đủ trong workbook này.</t>
  </si>
  <si>
    <t>Phát biểu SUS</t>
  </si>
  <si>
    <t>Điểm 1-5</t>
  </si>
  <si>
    <t>Ghi chú tùy chọn</t>
  </si>
  <si>
    <t>Q1</t>
  </si>
  <si>
    <t>Tôi nghĩ rằng tôi muốn sử dụng hệ thống quản trị này thường xuyên.</t>
  </si>
  <si>
    <t>P03</t>
  </si>
  <si>
    <t>Tôi không phải là Admin</t>
  </si>
  <si>
    <t>Q2</t>
  </si>
  <si>
    <t>P04</t>
  </si>
  <si>
    <t>Tôi thấy hệ thống quản trị này phức tạp một cách không cần thiết.</t>
  </si>
  <si>
    <t>Tôi không phải admin</t>
  </si>
  <si>
    <t>Không phức tạp</t>
  </si>
  <si>
    <t>P05</t>
  </si>
  <si>
    <t>Q3</t>
  </si>
  <si>
    <t>Tôi nghĩ hệ thống quản trị này dễ sử dụng.</t>
  </si>
  <si>
    <t>P06</t>
  </si>
  <si>
    <t>Không quá phức tạp</t>
  </si>
  <si>
    <t/>
  </si>
  <si>
    <t>Q4</t>
  </si>
  <si>
    <t>Tôi nghĩ tôi cần sự hỗ trợ của người có chuyên môn kỹ thuật để có thể sử dụng hệ thống quản trị này.</t>
  </si>
  <si>
    <t>P07</t>
  </si>
  <si>
    <t>Mean SUS</t>
  </si>
  <si>
    <t>Q5</t>
  </si>
  <si>
    <t>Tôi thấy các chức năng khác nhau trong hệ thống quản trị này được tích hợp tốt với nhau.</t>
  </si>
  <si>
    <t>Tại sao lại có category rỗng ?</t>
  </si>
  <si>
    <t>Q6</t>
  </si>
  <si>
    <t>Tôi nghĩ hệ thống quản trị này có quá nhiều điểm không nhất quán.</t>
  </si>
  <si>
    <t>Min SUS</t>
  </si>
  <si>
    <t>Q7</t>
  </si>
  <si>
    <t>Tôi cho rằng hầu hết mọi người có thể học cách sử dụng hệ thống quản trị này rất nhanh.</t>
  </si>
  <si>
    <t>Không sửa được sản phẩm ?</t>
  </si>
  <si>
    <t>Q8</t>
  </si>
  <si>
    <t>Tôi thấy hệ thống quản trị này rất rườm rà khi sử dụng.</t>
  </si>
  <si>
    <t>Max SUS</t>
  </si>
  <si>
    <t>Q9</t>
  </si>
  <si>
    <t>Tôi cảm thấy rất tự tin khi sử dụng hệ thống quản trị này.</t>
  </si>
  <si>
    <t>Sản phẩm thông báo đã sửa nhưng dưới danh sách sản phẩm thì vẫn như cũ</t>
  </si>
  <si>
    <t>Q10</t>
  </si>
  <si>
    <t>Ghi chú</t>
  </si>
  <si>
    <t>Tôi cần học khá nhiều thứ trước khi có thể bắt đầu sử dụng hệ thống quản trị này.</t>
  </si>
  <si>
    <t>Google Sheets/Excel sẽ tính công thức sau khi mở file và điền điểm SUS.</t>
  </si>
  <si>
    <t>Điểm SUS</t>
  </si>
  <si>
    <t>Câu hỏi mở sau session</t>
  </si>
  <si>
    <t>Chủ đề</t>
  </si>
  <si>
    <t>Câu hỏi</t>
  </si>
  <si>
    <t>Câu trả lời</t>
  </si>
  <si>
    <t>Ghi chú moderator</t>
  </si>
  <si>
    <t>Clarity</t>
  </si>
  <si>
    <t>Ở bước nào bạn thấy rõ nhất mình cần làm gì tiếp theo? Ở bước nào bạn phân vân nhất?</t>
  </si>
  <si>
    <t>Ở trang đăng nhập, tôi biết mình cần làm gì còn ở trang thêm sản phẩm tôi không biết trường nào là bắt buộc</t>
  </si>
  <si>
    <t>Error recovery</t>
  </si>
  <si>
    <t>Khi thao tác sai, thiếu dữ liệu hoặc import/xóa không như mong đợi, giao diện có giúp bạn hiểu và sửa lỗi không?</t>
  </si>
  <si>
    <t>Không, khi tôi lỡ bấm thêm danh mục khi chưa điền tên thì web vẫn cho tạo danh mục rỗng</t>
  </si>
  <si>
    <t>Speed</t>
  </si>
  <si>
    <t>Bước nào làm bạn mất nhiều thời gian nhất hoặc phải dừng lại suy nghĩ lâu nhất? Vì sao?</t>
  </si>
  <si>
    <t>Bảng câu hỏi SUS và câu hỏi mở - P03</t>
  </si>
  <si>
    <t>không</t>
  </si>
  <si>
    <t>Trust</t>
  </si>
  <si>
    <t>Sau khi tạo/sửa/xóa/import dữ liệu, điều gì khiến bạn tin hoặc không tin rằng thao tác đã hoàn tất đúng? Có thông báo xác nhận hay feedback nào giúp bạn yên tâm không?</t>
  </si>
  <si>
    <t>Không có thông báo xác nhận khi xoá người dùng, sản phẩm, không có thông báo thành công khi tạo được danh mục và sản phẩm mới</t>
  </si>
  <si>
    <t>Navigation</t>
  </si>
  <si>
    <t>Bạn có dễ tìm các màn hình Dashboard, Category, Product và User Management không?</t>
  </si>
  <si>
    <t>Có vì nó được hiển thị rõ ở sidebar</t>
  </si>
  <si>
    <t>Lê Phương Vũ</t>
  </si>
  <si>
    <t>ở bước thêm sản phẩm, mình thấy sẵn form thì cứ điền thôi</t>
  </si>
  <si>
    <t>Risk perception</t>
  </si>
  <si>
    <t>20:22 02/08/2026</t>
  </si>
  <si>
    <t>Với các thao tác xóa sản phẩm/người dùng, bạn có cảm thấy đủ an toàn trước khi xác nhận hành động không? Có confirmation dialog khi xóa không?</t>
  </si>
  <si>
    <t>Không có</t>
  </si>
  <si>
    <t>không, mình sửa báo thành công nhưng không thấy</t>
  </si>
  <si>
    <t>ở bước sửa sản phẩm, lí do như trên</t>
  </si>
  <si>
    <t>ngoại trừ phần sửa thì mọi thứ ok</t>
  </si>
  <si>
    <t>chưa đầy đủ những CRUD</t>
  </si>
  <si>
    <t>giao diện đơn giản, không phức tạp</t>
  </si>
  <si>
    <t>có, ngay bên thanh sidebar</t>
  </si>
  <si>
    <t>khá dễ để sử dụng</t>
  </si>
  <si>
    <t>xoá sản phẩm không thấy confirmation dialog nha</t>
  </si>
  <si>
    <t>không, nhưng thiếu và xác nhận khiến thao tác có thể bị nhầm lẫn</t>
  </si>
  <si>
    <t>các trang có bố cục nhất quán nhưng thiếu liên kết dữ liệu qua lại</t>
  </si>
  <si>
    <t>phần sửa sản phẩm khi sửa xong tất cả sản phần còn lại đều đổi theo</t>
  </si>
  <si>
    <t>cấu trúc đơn giản</t>
  </si>
  <si>
    <t>không rườm rà</t>
  </si>
  <si>
    <t>thiếu thao tác xác nhận khi xóa</t>
  </si>
  <si>
    <t>Bảng câu hỏi SUS và câu hỏi mở - P04</t>
  </si>
  <si>
    <t>không cần học nhiều</t>
  </si>
  <si>
    <t>Phan Nhựt Anh</t>
  </si>
  <si>
    <t>21:39 02/08/2026</t>
  </si>
  <si>
    <t>Tôi thấy hệ thống thiết kế khá đơn giản nhưng còn nhiều lỗi vặt</t>
  </si>
  <si>
    <t>phân vân nhất là ở form thêm sản phẩm vì không có label có định</t>
  </si>
  <si>
    <t>không, không thấy bất cứ thông báo lỗi nào hiện khi để trống hoặc nhập sang định dạng</t>
  </si>
  <si>
    <t>thêm sản phẩm, vì phải đoán ý nghĩa toàn ô không có label</t>
  </si>
  <si>
    <t>Còn nhiều lỗi như khi thay đổi thông tin sản phẩm có thông báo thành công nhưng thông tin mới không được lưu hay sao khi bấm lưu sản phẩm sau khi thay đổi thì toàn bộ tên của các sản phẩm khác bị thay đổi theo, chỉ khi xoá 1 sản phẩm thì các sản phẩm khác mới về lại như cũ.</t>
  </si>
  <si>
    <t>không có thông báo xác nhận khi thao tác hoàn tất</t>
  </si>
  <si>
    <t>có, khá dễ vì có sidebar liệt kê rõ ràng</t>
  </si>
  <si>
    <t>không an toàn, khi báo nút xóa là lập tức xóa đi không có hỏi lại người dùng là có muốn xóa hay không</t>
  </si>
  <si>
    <t>Bảng câu hỏi SUS và câu hỏi mở - P05</t>
  </si>
  <si>
    <t>Trần Minh Quang</t>
  </si>
  <si>
    <t>Khi thêm danh mục xong không có thông báo thành công, khi xoá sản phẩm hay xoá user không có thông báo xác nhận trước khi xoá, sau khi xoá cũng không có thông báo thành công</t>
  </si>
  <si>
    <t>Laptop/Chrome</t>
  </si>
  <si>
    <t>Không khó hiểu để dùng nhưng còn nhiều lỗi và thiếu thông báo, feedback cho user</t>
  </si>
  <si>
    <t>bước dễ nhất là login, tạo danh mục, bước phân vân nhất là sửa sản phẩm vì khi bấm vào UI không có thông báo hay chuyển sang page mới mà tôi phải tự lướt lên trên đầu trang phần điền thông tin sản phẩm để sửa (khi bấm sửa thì thông tin sản phẩm cần sửa sẽ được fill vào đây và tôi có thể sửa ở đây)</t>
  </si>
  <si>
    <t>Bảng câu hỏi SUS và câu hỏi mở - P06</t>
  </si>
  <si>
    <t>Khi tạo danh mục nhưng tôi quên nhập tên mà bấm tạo thì vẫn tạo được, không thấy bị chặn lại, khi import sản phẩm với giá âm cũng không thấy thông báo lỗi</t>
  </si>
  <si>
    <t xml:space="preserve">Bước sửa sản phẩm vì sau khi sửa 1 sản phẩm thì tôi thấy trên UI danh sách sản phẩm phần tên của toàn bộ sản phẩm đều hiển thị theo tên sản phẩm được sửa, chỉ khi thêm 1 sản phẩm mới hay xoá 1 sản phẩm đi UI mới hiển thị lại đúng tên các sản phẩm khác </t>
  </si>
  <si>
    <t>Lâm Chí Khải</t>
  </si>
  <si>
    <t>21:10 02/08/2026</t>
  </si>
  <si>
    <t>Nhiều chỗ không có, ví dụ như khi tạo danh mục, thêm/xoá sản phẩm, xoá user tôi đều không thấy có thông báo hay xác nhận hay feedback. Import csv thì có hiển thị thành công bao nhiêu trên tổng số, khi cập nhật sản phẩm cũng có thông báo thành công nhưng khi bấm sửa 1 lần nữa thì không thấy các thông tin đã thay đổi trước đó</t>
  </si>
  <si>
    <t>Desktop Windows 10 - Google chrome</t>
  </si>
  <si>
    <t>Có, nó được hiển thị rõ ràng ở sidebar</t>
  </si>
  <si>
    <t>Không, không có confirmation dialog khi xoá sản phẩm hay user</t>
  </si>
  <si>
    <t>Nếu tôi là người quản trị thì có một số điểm tôi muốn tốt hơn như là có chức năng xác nhận xoá</t>
  </si>
  <si>
    <t>- Rõ: Nhập CSV hiểu được cấu trúc từ file mẫu rồi nhùng AI sinh dữ liệu phù hợp và thành công thì có thông báo xác nhận
- Chưa rõ: các bước xóa ở các màn hình chưa có thông báo pop-up , bước sửa sản phẩm tự điền lên form mà không có thông báo gì khiến phải mất chút thời gian tìm kiếm</t>
  </si>
  <si>
    <t>Không</t>
  </si>
  <si>
    <t>Tạo sản phẩm mới theo danh mục mới, tại bấm sửa không hiện pop-up mà auto fill lên form phải nhìn kĩ mới thấy</t>
  </si>
  <si>
    <t>nhập dữ liệu thì tôi tin là hoàn tất vì có thông báo xác nhận cũng như sản phẩm theo file nhập có hiển thị cụ thể</t>
  </si>
  <si>
    <t>Có và khá dễ thấy</t>
  </si>
  <si>
    <t>Không đủ an toàn vì không có confirmation dialog</t>
  </si>
  <si>
    <t>Trang có vài điểm không rõ ràng so với lại các hệ thống quản lý hàng khác như Reflowhq</t>
  </si>
  <si>
    <t>Bảng câu hỏi SUS và câu hỏi mở - P07</t>
  </si>
  <si>
    <t>Tôi thấy cần phải khá cận trọng trong mọi bước đi vì hệ thống không có xác nhận khi thực hiện các thao tác xoá và cần phải đi kiểm tra lại nhiều thứ khi đã làm vì không rõ là đã thực hiện thao tác đó chưa</t>
  </si>
  <si>
    <t>Lâm Vĩ Khang</t>
  </si>
  <si>
    <t>Tôi cần phải thử nghiệm với hệ thống trước để biết tôi cần phải làm gì để lấy được kết quả mong đợi</t>
  </si>
  <si>
    <t>18:00 02/08/2026</t>
  </si>
  <si>
    <t>Tôi thấy bước đăng nhập và di chuyển giữa các tác vụ là rõ ràng nhất. Còn bước phân vân thì là bước thêm danh mục sản phẩm và khi thêm sản phẩm ảnh sản phẩm</t>
  </si>
  <si>
    <t>Hiện tại với giao diện đã nhận được thì thao tác sai là tôi phải tự kiểm tra mới thấy còn giao diện không đề cập gì đến lỗi cập nhật sai</t>
  </si>
  <si>
    <t>Bước chỉnh sửa sản phẩm vì ban đầu mình không rõ là mình đã chỉnh chưa? Sau khi thực hiện lại và kiểm tra lại thì mình mới thấy là mình chưa chỉnh sửa</t>
  </si>
  <si>
    <t xml:space="preserve">Mình phải tự đi kiểm tra lại là đã chỉnh sửa,còn tạo thì giao diện có thông báo là đã thực hiện và giao diện xoá thì giao diện chỉ cập nhật lại mà không có thông báo là đã xoá </t>
  </si>
  <si>
    <t>Giao diện khá dễ tìm</t>
  </si>
  <si>
    <t>Không thấy đủ an toàn vì tất cả những gì mà tôi làm đều thực hiện xoá ngay lập tức. Không có confirmation dialog</t>
  </si>
  <si>
    <t>rõ nhất ở bước thêm danh mục hay xoá người dùng nhưng phân vân sau khi bấm sửa một sản phẩm</t>
  </si>
  <si>
    <t>sau khi sửa sản phẩm, đột nhiên cả list sản phẩm bị sai thông tin, mình cũng không biết phải làm gì để quay về như cũ</t>
  </si>
  <si>
    <t>bước sửa sản phẩm vì UI không giúp mình biết phải sửa các thông tin ở đâu, phải cuộn lên mới thấy</t>
  </si>
  <si>
    <t>sau khi import csv, có preview và thông báo inline rằng các sản phẩm đã được import, mình lướt xuống dưới cũng thấy các sản phẩm mới đó</t>
  </si>
  <si>
    <t>các phần đó được hiển thị trên sidebar nên cũng tương đối dễ tìm</t>
  </si>
  <si>
    <t>không, khi bấm xoá thì người dùng bị xoá hoàn toàn, không có dialog để confirm, nếu xoá nhầm thì coi như mất luôn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</si>
</sst>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b/>
      <sz val="14.0"/>
      <color theme="1"/>
      <name val="Calibri"/>
    </font>
    <font>
      <b/>
      <sz val="11.0"/>
      <color theme="1"/>
      <name val="Calibri"/>
    </font>
    <font>
      <sz val="11.0"/>
      <color theme="1"/>
      <name val="Calibri"/>
    </font>
    <font/>
    <font>
      <color theme="1"/>
      <name val="Calibri"/>
      <scheme val="minor"/>
    </font>
  </fonts>
  <fills count="3">
    <fill>
      <patternFill patternType="none"/>
    </fill>
    <fill>
      <patternFill patternType="lightGray"/>
    </fill>
    <fill>
      <patternFill patternType="solid">
        <fgColor rgb="FFD9EAF7"/>
        <bgColor rgb="FFD9EAF7"/>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1" fillId="2" fontId="2" numFmtId="0" xfId="0" applyBorder="1" applyFill="1" applyFont="1"/>
    <xf borderId="1" fillId="0" fontId="3" numFmtId="0" xfId="0" applyAlignment="1" applyBorder="1" applyFont="1">
      <alignment shrinkToFit="0" vertical="top" wrapText="1"/>
    </xf>
    <xf borderId="1" fillId="0" fontId="3" numFmtId="0" xfId="0" applyBorder="1" applyFont="1"/>
    <xf borderId="2" fillId="0" fontId="3" numFmtId="0" xfId="0" applyBorder="1" applyFont="1"/>
    <xf borderId="3" fillId="0" fontId="4" numFmtId="0" xfId="0" applyBorder="1" applyFont="1"/>
    <xf borderId="4" fillId="0" fontId="4" numFmtId="0" xfId="0" applyBorder="1" applyFont="1"/>
    <xf borderId="0" fillId="0" fontId="5" numFmtId="0" xfId="0" applyAlignment="1" applyFont="1">
      <alignment readingOrder="0"/>
    </xf>
    <xf borderId="0" fillId="0" fontId="5" numFmtId="0" xfId="0" applyFont="1"/>
    <xf borderId="1" fillId="0" fontId="3" numFmtId="0" xfId="0" applyAlignment="1" applyBorder="1" applyFont="1">
      <alignment horizontal="center" readingOrder="0" vertical="center"/>
    </xf>
    <xf borderId="1" fillId="0"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18.0"/>
    <col customWidth="1" min="2" max="2" width="120.0"/>
    <col customWidth="1" min="3" max="26" width="8.71"/>
  </cols>
  <sheetData>
    <row r="1" ht="18.0" customHeight="1">
      <c r="A1" s="1" t="s">
        <v>0</v>
      </c>
    </row>
    <row r="2" ht="18.0" customHeight="1"/>
    <row r="3" ht="18.0" customHeight="1">
      <c r="A3" s="3" t="s">
        <v>2</v>
      </c>
      <c r="B3" s="4" t="s">
        <v>6</v>
      </c>
    </row>
    <row r="4" ht="18.0" customHeight="1">
      <c r="A4" s="3" t="s">
        <v>11</v>
      </c>
      <c r="B4" s="4" t="s">
        <v>12</v>
      </c>
    </row>
    <row r="5" ht="18.0" customHeight="1"/>
    <row r="6" ht="18.0" customHeight="1">
      <c r="A6" s="3" t="s">
        <v>13</v>
      </c>
      <c r="B6" s="4" t="s">
        <v>14</v>
      </c>
    </row>
    <row r="7" ht="18.0" customHeight="1">
      <c r="A7" s="3" t="s">
        <v>16</v>
      </c>
      <c r="B7" s="4" t="s">
        <v>18</v>
      </c>
    </row>
    <row r="8" ht="18.0" customHeight="1">
      <c r="A8" s="3" t="s">
        <v>21</v>
      </c>
      <c r="B8" s="4" t="s">
        <v>24</v>
      </c>
    </row>
    <row r="9" ht="18.0" customHeight="1">
      <c r="A9" s="3" t="s">
        <v>27</v>
      </c>
      <c r="B9" s="4" t="s">
        <v>30</v>
      </c>
    </row>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22.0"/>
    <col customWidth="1" min="2" max="2" width="16.0"/>
    <col customWidth="1" min="3" max="26" width="8.71"/>
  </cols>
  <sheetData>
    <row r="1" ht="18.0" customHeight="1">
      <c r="A1" s="2" t="s">
        <v>1</v>
      </c>
    </row>
    <row r="2" ht="18.0" customHeight="1"/>
    <row r="3" ht="18.0" customHeight="1">
      <c r="A3" s="3" t="s">
        <v>5</v>
      </c>
      <c r="B3" s="3" t="s">
        <v>8</v>
      </c>
    </row>
    <row r="4" ht="18.0" customHeight="1">
      <c r="A4" s="5" t="s">
        <v>10</v>
      </c>
      <c r="B4" s="10">
        <f>'P01'!B20</f>
        <v>65</v>
      </c>
    </row>
    <row r="5" ht="18.0" customHeight="1">
      <c r="A5" s="5" t="s">
        <v>9</v>
      </c>
      <c r="B5" s="10">
        <f>'P02'!B20</f>
        <v>65</v>
      </c>
    </row>
    <row r="6" ht="18.0" customHeight="1">
      <c r="A6" s="5" t="s">
        <v>36</v>
      </c>
      <c r="B6" s="10">
        <f>'P03'!B20</f>
        <v>52.5</v>
      </c>
    </row>
    <row r="7" ht="18.0" customHeight="1">
      <c r="A7" s="5" t="s">
        <v>39</v>
      </c>
      <c r="B7" s="10">
        <f>'P04'!B20</f>
        <v>55</v>
      </c>
    </row>
    <row r="8" ht="18.0" customHeight="1">
      <c r="A8" s="5" t="s">
        <v>43</v>
      </c>
      <c r="B8" s="10">
        <f>'P05'!B20</f>
        <v>72.5</v>
      </c>
    </row>
    <row r="9" ht="18.0" customHeight="1">
      <c r="A9" s="5" t="s">
        <v>46</v>
      </c>
      <c r="B9" s="10">
        <f>'P06'!B20</f>
        <v>70</v>
      </c>
    </row>
    <row r="10" ht="18.0" customHeight="1">
      <c r="A10" s="5" t="s">
        <v>51</v>
      </c>
      <c r="B10" s="10">
        <f>'P07'!B20</f>
        <v>42.5</v>
      </c>
    </row>
    <row r="11" ht="18.0" customHeight="1"/>
    <row r="12" ht="18.0" customHeight="1">
      <c r="A12" s="3" t="s">
        <v>52</v>
      </c>
      <c r="B12" s="10">
        <f>IF(COUNT(B4:B10)=0,"",AVERAGE(B4:B10))</f>
        <v>60.35714286</v>
      </c>
    </row>
    <row r="13" ht="18.0" customHeight="1">
      <c r="A13" s="3" t="s">
        <v>58</v>
      </c>
      <c r="B13" s="10">
        <f>IF(COUNT(B4:B10)=0,"",MIN(B4:B10))</f>
        <v>42.5</v>
      </c>
    </row>
    <row r="14" ht="18.0" customHeight="1">
      <c r="A14" s="3" t="s">
        <v>64</v>
      </c>
      <c r="B14" s="10">
        <f>IF(COUNT(B4:B10)=0,"",MAX(B4:B10))</f>
        <v>72.5</v>
      </c>
    </row>
    <row r="15" ht="18.0" customHeight="1"/>
    <row r="16" ht="18.0" customHeight="1">
      <c r="A16" s="3" t="s">
        <v>69</v>
      </c>
      <c r="B16" s="4" t="s">
        <v>71</v>
      </c>
    </row>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16.0"/>
    <col customWidth="1" min="2" max="2" width="86.0"/>
    <col customWidth="1" min="3" max="3" width="34.71"/>
    <col customWidth="1" min="4" max="4" width="38.0"/>
    <col customWidth="1" min="5" max="26" width="8.71"/>
  </cols>
  <sheetData>
    <row r="1" ht="18.0" customHeight="1">
      <c r="A1" s="2" t="s">
        <v>4</v>
      </c>
    </row>
    <row r="2" ht="18.0" customHeight="1"/>
    <row r="3" ht="18.0" customHeight="1">
      <c r="A3" s="3" t="s">
        <v>7</v>
      </c>
      <c r="B3" s="6" t="s">
        <v>10</v>
      </c>
      <c r="C3" s="7"/>
      <c r="D3" s="8"/>
    </row>
    <row r="4" ht="18.0" customHeight="1">
      <c r="A4" s="3" t="s">
        <v>15</v>
      </c>
      <c r="B4" s="9" t="s">
        <v>19</v>
      </c>
    </row>
    <row r="5" ht="18.0" customHeight="1">
      <c r="A5" s="3" t="s">
        <v>20</v>
      </c>
      <c r="B5" s="9" t="s">
        <v>23</v>
      </c>
    </row>
    <row r="6" ht="18.0" customHeight="1">
      <c r="A6" s="3" t="s">
        <v>25</v>
      </c>
      <c r="B6" s="9" t="s">
        <v>28</v>
      </c>
    </row>
    <row r="7" ht="18.0" customHeight="1"/>
    <row r="8" ht="18.0" customHeight="1">
      <c r="A8" s="3" t="s">
        <v>29</v>
      </c>
      <c r="B8" s="3" t="s">
        <v>31</v>
      </c>
      <c r="C8" s="3" t="s">
        <v>32</v>
      </c>
      <c r="D8" s="3" t="s">
        <v>33</v>
      </c>
    </row>
    <row r="9" ht="18.0" customHeight="1">
      <c r="A9" s="5" t="s">
        <v>34</v>
      </c>
      <c r="B9" s="4" t="s">
        <v>35</v>
      </c>
      <c r="C9" s="11">
        <v>2.0</v>
      </c>
      <c r="D9" s="12" t="s">
        <v>41</v>
      </c>
    </row>
    <row r="10" ht="18.0" customHeight="1">
      <c r="A10" s="5" t="s">
        <v>38</v>
      </c>
      <c r="B10" s="4" t="s">
        <v>40</v>
      </c>
      <c r="C10" s="11">
        <v>2.0</v>
      </c>
      <c r="D10" s="12" t="s">
        <v>47</v>
      </c>
    </row>
    <row r="11" ht="18.0" customHeight="1">
      <c r="A11" s="5" t="s">
        <v>44</v>
      </c>
      <c r="B11" s="4" t="s">
        <v>45</v>
      </c>
      <c r="C11" s="11">
        <v>4.0</v>
      </c>
      <c r="D11" s="4" t="s">
        <v>48</v>
      </c>
    </row>
    <row r="12" ht="18.0" customHeight="1">
      <c r="A12" s="5" t="s">
        <v>49</v>
      </c>
      <c r="B12" s="4" t="s">
        <v>50</v>
      </c>
      <c r="C12" s="11">
        <v>3.0</v>
      </c>
      <c r="D12" s="12" t="s">
        <v>55</v>
      </c>
    </row>
    <row r="13" ht="18.0" customHeight="1">
      <c r="A13" s="5" t="s">
        <v>53</v>
      </c>
      <c r="B13" s="4" t="s">
        <v>54</v>
      </c>
      <c r="C13" s="11">
        <v>3.0</v>
      </c>
      <c r="D13" s="12" t="s">
        <v>61</v>
      </c>
    </row>
    <row r="14" ht="18.0" customHeight="1">
      <c r="A14" s="5" t="s">
        <v>56</v>
      </c>
      <c r="B14" s="4" t="s">
        <v>57</v>
      </c>
      <c r="C14" s="11">
        <v>4.0</v>
      </c>
      <c r="D14" s="12" t="s">
        <v>67</v>
      </c>
    </row>
    <row r="15" ht="18.0" customHeight="1">
      <c r="A15" s="5" t="s">
        <v>59</v>
      </c>
      <c r="B15" s="4" t="s">
        <v>60</v>
      </c>
      <c r="C15" s="11">
        <v>4.0</v>
      </c>
      <c r="D15" s="4" t="s">
        <v>48</v>
      </c>
    </row>
    <row r="16" ht="18.0" customHeight="1">
      <c r="A16" s="5" t="s">
        <v>62</v>
      </c>
      <c r="B16" s="4" t="s">
        <v>63</v>
      </c>
      <c r="C16" s="11">
        <v>1.0</v>
      </c>
      <c r="D16" s="4" t="s">
        <v>48</v>
      </c>
    </row>
    <row r="17" ht="18.0" customHeight="1">
      <c r="A17" s="5" t="s">
        <v>65</v>
      </c>
      <c r="B17" s="4" t="s">
        <v>66</v>
      </c>
      <c r="C17" s="11">
        <v>4.0</v>
      </c>
      <c r="D17" s="4" t="s">
        <v>48</v>
      </c>
    </row>
    <row r="18" ht="18.0" customHeight="1">
      <c r="A18" s="5" t="s">
        <v>68</v>
      </c>
      <c r="B18" s="4" t="s">
        <v>70</v>
      </c>
      <c r="C18" s="11">
        <v>1.0</v>
      </c>
      <c r="D18" s="4" t="s">
        <v>48</v>
      </c>
    </row>
    <row r="19" ht="18.0" customHeight="1"/>
    <row r="20" ht="18.0" customHeight="1">
      <c r="A20" s="3" t="s">
        <v>72</v>
      </c>
      <c r="B20" s="10">
        <f>IF(COUNT(C9:C18)&lt;10,"",SUM(C9-1,5-C10,C11-1,5-C12,C13-1,5-C14,C15-1,5-C16,C17-1,5-C18)*2.5)</f>
        <v>65</v>
      </c>
      <c r="C20" s="10" t="s">
        <v>48</v>
      </c>
      <c r="D20" s="10" t="s">
        <v>48</v>
      </c>
    </row>
    <row r="21" ht="18.0" customHeight="1"/>
    <row r="22" ht="18.0" customHeight="1">
      <c r="A22" s="2" t="s">
        <v>73</v>
      </c>
    </row>
    <row r="23" ht="18.0" customHeight="1">
      <c r="A23" s="3" t="s">
        <v>74</v>
      </c>
      <c r="B23" s="3" t="s">
        <v>75</v>
      </c>
      <c r="C23" s="3" t="s">
        <v>76</v>
      </c>
      <c r="D23" s="3" t="s">
        <v>77</v>
      </c>
    </row>
    <row r="24" ht="18.0" customHeight="1">
      <c r="A24" s="5" t="s">
        <v>78</v>
      </c>
      <c r="B24" s="4" t="s">
        <v>79</v>
      </c>
      <c r="C24" s="12" t="s">
        <v>95</v>
      </c>
      <c r="D24" s="4" t="s">
        <v>48</v>
      </c>
    </row>
    <row r="25" ht="18.0" customHeight="1">
      <c r="A25" s="5" t="s">
        <v>81</v>
      </c>
      <c r="B25" s="4" t="s">
        <v>82</v>
      </c>
      <c r="C25" s="12" t="s">
        <v>100</v>
      </c>
      <c r="D25" s="4" t="s">
        <v>48</v>
      </c>
    </row>
    <row r="26" ht="18.0" customHeight="1">
      <c r="A26" s="5" t="s">
        <v>84</v>
      </c>
      <c r="B26" s="4" t="s">
        <v>85</v>
      </c>
      <c r="C26" s="12" t="s">
        <v>101</v>
      </c>
      <c r="D26" s="4" t="s">
        <v>48</v>
      </c>
    </row>
    <row r="27" ht="18.0" customHeight="1">
      <c r="A27" s="5" t="s">
        <v>88</v>
      </c>
      <c r="B27" s="4" t="s">
        <v>89</v>
      </c>
      <c r="C27" s="12" t="s">
        <v>102</v>
      </c>
      <c r="D27" s="4" t="s">
        <v>48</v>
      </c>
    </row>
    <row r="28" ht="18.0" customHeight="1">
      <c r="A28" s="5" t="s">
        <v>91</v>
      </c>
      <c r="B28" s="4" t="s">
        <v>92</v>
      </c>
      <c r="C28" s="12" t="s">
        <v>105</v>
      </c>
      <c r="D28" s="4" t="s">
        <v>48</v>
      </c>
    </row>
    <row r="29" ht="18.0" customHeight="1">
      <c r="A29" s="5" t="s">
        <v>96</v>
      </c>
      <c r="B29" s="4" t="s">
        <v>98</v>
      </c>
      <c r="C29" s="12" t="s">
        <v>107</v>
      </c>
      <c r="D29" s="4" t="s">
        <v>48</v>
      </c>
    </row>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5">
    <mergeCell ref="A1:D1"/>
    <mergeCell ref="B3:D3"/>
    <mergeCell ref="B4:D4"/>
    <mergeCell ref="B5:D5"/>
    <mergeCell ref="A22:D22"/>
  </mergeCells>
  <dataValidations>
    <dataValidation type="decimal" allowBlank="1" showErrorMessage="1" sqref="C9:C18">
      <formula1>1.0</formula1>
      <formula2>5.0</formula2>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16.0"/>
    <col customWidth="1" min="2" max="2" width="86.0"/>
    <col customWidth="1" min="3" max="3" width="35.29"/>
    <col customWidth="1" min="4" max="4" width="38.0"/>
    <col customWidth="1" min="5" max="26" width="8.71"/>
  </cols>
  <sheetData>
    <row r="1" ht="18.0" customHeight="1">
      <c r="A1" s="2" t="s">
        <v>3</v>
      </c>
    </row>
    <row r="2" ht="18.0" customHeight="1"/>
    <row r="3" ht="18.0" customHeight="1">
      <c r="A3" s="3" t="s">
        <v>7</v>
      </c>
      <c r="B3" s="6" t="s">
        <v>9</v>
      </c>
      <c r="C3" s="7"/>
      <c r="D3" s="8"/>
    </row>
    <row r="4" ht="18.0" customHeight="1">
      <c r="A4" s="3" t="s">
        <v>15</v>
      </c>
      <c r="B4" s="9" t="s">
        <v>17</v>
      </c>
    </row>
    <row r="5" ht="18.0" customHeight="1">
      <c r="A5" s="3" t="s">
        <v>20</v>
      </c>
      <c r="B5" s="9" t="s">
        <v>22</v>
      </c>
    </row>
    <row r="6" ht="18.0" customHeight="1">
      <c r="A6" s="3" t="s">
        <v>25</v>
      </c>
      <c r="B6" s="9" t="s">
        <v>26</v>
      </c>
    </row>
    <row r="7" ht="18.0" customHeight="1"/>
    <row r="8" ht="18.0" customHeight="1">
      <c r="A8" s="3" t="s">
        <v>29</v>
      </c>
      <c r="B8" s="3" t="s">
        <v>31</v>
      </c>
      <c r="C8" s="3" t="s">
        <v>32</v>
      </c>
      <c r="D8" s="3" t="s">
        <v>33</v>
      </c>
    </row>
    <row r="9" ht="18.0" customHeight="1">
      <c r="A9" s="5" t="s">
        <v>34</v>
      </c>
      <c r="B9" s="4" t="s">
        <v>35</v>
      </c>
      <c r="C9" s="11">
        <v>2.0</v>
      </c>
      <c r="D9" s="12" t="s">
        <v>37</v>
      </c>
    </row>
    <row r="10" ht="18.0" customHeight="1">
      <c r="A10" s="5" t="s">
        <v>38</v>
      </c>
      <c r="B10" s="4" t="s">
        <v>40</v>
      </c>
      <c r="C10" s="11">
        <v>2.0</v>
      </c>
      <c r="D10" s="12" t="s">
        <v>42</v>
      </c>
    </row>
    <row r="11" ht="18.0" customHeight="1">
      <c r="A11" s="5" t="s">
        <v>44</v>
      </c>
      <c r="B11" s="4" t="s">
        <v>45</v>
      </c>
      <c r="C11" s="11">
        <v>4.0</v>
      </c>
      <c r="D11" s="4" t="s">
        <v>48</v>
      </c>
    </row>
    <row r="12" ht="18.0" customHeight="1">
      <c r="A12" s="5" t="s">
        <v>49</v>
      </c>
      <c r="B12" s="4" t="s">
        <v>50</v>
      </c>
      <c r="C12" s="11">
        <v>3.0</v>
      </c>
      <c r="D12" s="4" t="s">
        <v>48</v>
      </c>
    </row>
    <row r="13" ht="18.0" customHeight="1">
      <c r="A13" s="5" t="s">
        <v>53</v>
      </c>
      <c r="B13" s="4" t="s">
        <v>54</v>
      </c>
      <c r="C13" s="11">
        <v>2.0</v>
      </c>
      <c r="D13" s="4" t="s">
        <v>48</v>
      </c>
    </row>
    <row r="14" ht="18.0" customHeight="1">
      <c r="A14" s="5" t="s">
        <v>56</v>
      </c>
      <c r="B14" s="4" t="s">
        <v>57</v>
      </c>
      <c r="C14" s="11">
        <v>1.0</v>
      </c>
      <c r="D14" s="4" t="s">
        <v>48</v>
      </c>
    </row>
    <row r="15" ht="18.0" customHeight="1">
      <c r="A15" s="5" t="s">
        <v>59</v>
      </c>
      <c r="B15" s="4" t="s">
        <v>60</v>
      </c>
      <c r="C15" s="11">
        <v>4.0</v>
      </c>
      <c r="D15" s="4" t="s">
        <v>48</v>
      </c>
    </row>
    <row r="16" ht="18.0" customHeight="1">
      <c r="A16" s="5" t="s">
        <v>62</v>
      </c>
      <c r="B16" s="4" t="s">
        <v>63</v>
      </c>
      <c r="C16" s="11">
        <v>2.0</v>
      </c>
      <c r="D16" s="4" t="s">
        <v>48</v>
      </c>
    </row>
    <row r="17" ht="18.0" customHeight="1">
      <c r="A17" s="5" t="s">
        <v>65</v>
      </c>
      <c r="B17" s="4" t="s">
        <v>66</v>
      </c>
      <c r="C17" s="11">
        <v>3.0</v>
      </c>
      <c r="D17" s="4" t="s">
        <v>48</v>
      </c>
    </row>
    <row r="18" ht="18.0" customHeight="1">
      <c r="A18" s="5" t="s">
        <v>68</v>
      </c>
      <c r="B18" s="4" t="s">
        <v>70</v>
      </c>
      <c r="C18" s="11">
        <v>1.0</v>
      </c>
      <c r="D18" s="4" t="s">
        <v>48</v>
      </c>
    </row>
    <row r="19" ht="18.0" customHeight="1"/>
    <row r="20" ht="18.0" customHeight="1">
      <c r="A20" s="3" t="s">
        <v>72</v>
      </c>
      <c r="B20" s="10">
        <f>IF(COUNT(C9:C18)&lt;10,"",SUM(C9-1,5-C10,C11-1,5-C12,C13-1,5-C14,C15-1,5-C16,C17-1,5-C18)*2.5)</f>
        <v>65</v>
      </c>
      <c r="C20" s="10" t="s">
        <v>48</v>
      </c>
      <c r="D20" s="10" t="s">
        <v>48</v>
      </c>
    </row>
    <row r="21" ht="18.0" customHeight="1"/>
    <row r="22" ht="18.0" customHeight="1">
      <c r="A22" s="2" t="s">
        <v>73</v>
      </c>
    </row>
    <row r="23" ht="18.0" customHeight="1">
      <c r="A23" s="3" t="s">
        <v>74</v>
      </c>
      <c r="B23" s="3" t="s">
        <v>75</v>
      </c>
      <c r="C23" s="3" t="s">
        <v>76</v>
      </c>
      <c r="D23" s="3" t="s">
        <v>77</v>
      </c>
    </row>
    <row r="24" ht="18.0" customHeight="1">
      <c r="A24" s="5" t="s">
        <v>78</v>
      </c>
      <c r="B24" s="12" t="s">
        <v>79</v>
      </c>
      <c r="C24" s="12" t="s">
        <v>80</v>
      </c>
      <c r="D24" s="4" t="s">
        <v>48</v>
      </c>
    </row>
    <row r="25" ht="18.0" customHeight="1">
      <c r="A25" s="5" t="s">
        <v>81</v>
      </c>
      <c r="B25" s="4" t="s">
        <v>82</v>
      </c>
      <c r="C25" s="12" t="s">
        <v>83</v>
      </c>
      <c r="D25" s="4" t="s">
        <v>48</v>
      </c>
    </row>
    <row r="26" ht="18.0" customHeight="1">
      <c r="A26" s="5" t="s">
        <v>84</v>
      </c>
      <c r="B26" s="4" t="s">
        <v>85</v>
      </c>
      <c r="C26" s="12" t="s">
        <v>87</v>
      </c>
      <c r="D26" s="4" t="s">
        <v>48</v>
      </c>
    </row>
    <row r="27" ht="18.0" customHeight="1">
      <c r="A27" s="5" t="s">
        <v>88</v>
      </c>
      <c r="B27" s="4" t="s">
        <v>89</v>
      </c>
      <c r="C27" s="12" t="s">
        <v>90</v>
      </c>
      <c r="D27" s="4" t="s">
        <v>48</v>
      </c>
    </row>
    <row r="28" ht="18.0" customHeight="1">
      <c r="A28" s="5" t="s">
        <v>91</v>
      </c>
      <c r="B28" s="4" t="s">
        <v>92</v>
      </c>
      <c r="C28" s="12" t="s">
        <v>93</v>
      </c>
      <c r="D28" s="4" t="s">
        <v>48</v>
      </c>
    </row>
    <row r="29" ht="18.0" customHeight="1">
      <c r="A29" s="5" t="s">
        <v>96</v>
      </c>
      <c r="B29" s="4" t="s">
        <v>98</v>
      </c>
      <c r="C29" s="12" t="s">
        <v>99</v>
      </c>
      <c r="D29" s="4" t="s">
        <v>48</v>
      </c>
    </row>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5">
    <mergeCell ref="A1:D1"/>
    <mergeCell ref="B3:D3"/>
    <mergeCell ref="B4:D4"/>
    <mergeCell ref="B5:D5"/>
    <mergeCell ref="A22:D22"/>
  </mergeCells>
  <dataValidations>
    <dataValidation type="decimal" allowBlank="1" showErrorMessage="1" sqref="C9:C18">
      <formula1>1.0</formula1>
      <formula2>5.0</formula2>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16.0"/>
    <col customWidth="1" min="2" max="2" width="86.0"/>
    <col customWidth="1" min="3" max="3" width="41.57"/>
    <col customWidth="1" min="4" max="4" width="38.0"/>
    <col customWidth="1" min="5" max="26" width="8.71"/>
  </cols>
  <sheetData>
    <row r="1" ht="18.0" customHeight="1">
      <c r="A1" s="2" t="s">
        <v>86</v>
      </c>
    </row>
    <row r="2" ht="18.0" customHeight="1"/>
    <row r="3" ht="18.0" customHeight="1">
      <c r="A3" s="3" t="s">
        <v>7</v>
      </c>
      <c r="B3" s="6" t="s">
        <v>36</v>
      </c>
      <c r="C3" s="7"/>
      <c r="D3" s="8"/>
    </row>
    <row r="4" ht="18.0" customHeight="1">
      <c r="A4" s="3" t="s">
        <v>15</v>
      </c>
      <c r="B4" s="9" t="s">
        <v>94</v>
      </c>
    </row>
    <row r="5" ht="18.0" customHeight="1">
      <c r="A5" s="3" t="s">
        <v>20</v>
      </c>
      <c r="B5" s="9" t="s">
        <v>97</v>
      </c>
    </row>
    <row r="6" ht="18.0" customHeight="1">
      <c r="A6" s="3" t="s">
        <v>25</v>
      </c>
      <c r="B6" s="9" t="s">
        <v>26</v>
      </c>
    </row>
    <row r="7" ht="18.0" customHeight="1"/>
    <row r="8" ht="18.0" customHeight="1">
      <c r="A8" s="3" t="s">
        <v>29</v>
      </c>
      <c r="B8" s="3" t="s">
        <v>31</v>
      </c>
      <c r="C8" s="3" t="s">
        <v>32</v>
      </c>
      <c r="D8" s="3" t="s">
        <v>33</v>
      </c>
    </row>
    <row r="9" ht="18.0" customHeight="1">
      <c r="A9" s="5" t="s">
        <v>34</v>
      </c>
      <c r="B9" s="4" t="s">
        <v>35</v>
      </c>
      <c r="C9" s="11">
        <v>2.0</v>
      </c>
      <c r="D9" s="12" t="s">
        <v>103</v>
      </c>
    </row>
    <row r="10" ht="18.0" customHeight="1">
      <c r="A10" s="5" t="s">
        <v>38</v>
      </c>
      <c r="B10" s="4" t="s">
        <v>40</v>
      </c>
      <c r="C10" s="11">
        <v>2.0</v>
      </c>
      <c r="D10" s="12" t="s">
        <v>104</v>
      </c>
    </row>
    <row r="11" ht="18.0" customHeight="1">
      <c r="A11" s="5" t="s">
        <v>44</v>
      </c>
      <c r="B11" s="4" t="s">
        <v>45</v>
      </c>
      <c r="C11" s="11">
        <v>3.0</v>
      </c>
      <c r="D11" s="12" t="s">
        <v>106</v>
      </c>
    </row>
    <row r="12" ht="18.0" customHeight="1">
      <c r="A12" s="5" t="s">
        <v>49</v>
      </c>
      <c r="B12" s="4" t="s">
        <v>50</v>
      </c>
      <c r="C12" s="11">
        <v>2.0</v>
      </c>
      <c r="D12" s="12" t="s">
        <v>108</v>
      </c>
    </row>
    <row r="13" ht="18.0" customHeight="1">
      <c r="A13" s="5" t="s">
        <v>53</v>
      </c>
      <c r="B13" s="4" t="s">
        <v>54</v>
      </c>
      <c r="C13" s="11">
        <v>1.0</v>
      </c>
      <c r="D13" s="12" t="s">
        <v>109</v>
      </c>
    </row>
    <row r="14" ht="18.0" customHeight="1">
      <c r="A14" s="5" t="s">
        <v>56</v>
      </c>
      <c r="B14" s="4" t="s">
        <v>57</v>
      </c>
      <c r="C14" s="11">
        <v>4.0</v>
      </c>
      <c r="D14" s="12" t="s">
        <v>110</v>
      </c>
    </row>
    <row r="15" ht="18.0" customHeight="1">
      <c r="A15" s="5" t="s">
        <v>59</v>
      </c>
      <c r="B15" s="4" t="s">
        <v>60</v>
      </c>
      <c r="C15" s="11">
        <v>4.0</v>
      </c>
      <c r="D15" s="12" t="s">
        <v>111</v>
      </c>
    </row>
    <row r="16" ht="18.0" customHeight="1">
      <c r="A16" s="5" t="s">
        <v>62</v>
      </c>
      <c r="B16" s="4" t="s">
        <v>63</v>
      </c>
      <c r="C16" s="11">
        <v>2.0</v>
      </c>
      <c r="D16" s="12" t="s">
        <v>112</v>
      </c>
    </row>
    <row r="17" ht="18.0" customHeight="1">
      <c r="A17" s="5" t="s">
        <v>65</v>
      </c>
      <c r="B17" s="4" t="s">
        <v>66</v>
      </c>
      <c r="C17" s="11">
        <v>2.0</v>
      </c>
      <c r="D17" s="12" t="s">
        <v>113</v>
      </c>
    </row>
    <row r="18" ht="18.0" customHeight="1">
      <c r="A18" s="5" t="s">
        <v>68</v>
      </c>
      <c r="B18" s="4" t="s">
        <v>70</v>
      </c>
      <c r="C18" s="11">
        <v>1.0</v>
      </c>
      <c r="D18" s="12" t="s">
        <v>115</v>
      </c>
    </row>
    <row r="19" ht="18.0" customHeight="1"/>
    <row r="20" ht="18.0" customHeight="1">
      <c r="A20" s="3" t="s">
        <v>72</v>
      </c>
      <c r="B20" s="10">
        <f>IF(COUNT(C9:C18)&lt;10,"",SUM(C9-1,5-C10,C11-1,5-C12,C13-1,5-C14,C15-1,5-C16,C17-1,5-C18)*2.5)</f>
        <v>52.5</v>
      </c>
      <c r="C20" s="10" t="s">
        <v>48</v>
      </c>
      <c r="D20" s="10" t="s">
        <v>48</v>
      </c>
    </row>
    <row r="21" ht="18.0" customHeight="1"/>
    <row r="22" ht="18.0" customHeight="1">
      <c r="A22" s="2" t="s">
        <v>73</v>
      </c>
    </row>
    <row r="23" ht="18.0" customHeight="1">
      <c r="A23" s="3" t="s">
        <v>74</v>
      </c>
      <c r="B23" s="3" t="s">
        <v>75</v>
      </c>
      <c r="C23" s="3" t="s">
        <v>76</v>
      </c>
      <c r="D23" s="3" t="s">
        <v>77</v>
      </c>
    </row>
    <row r="24" ht="18.0" customHeight="1">
      <c r="A24" s="5" t="s">
        <v>78</v>
      </c>
      <c r="B24" s="12" t="s">
        <v>79</v>
      </c>
      <c r="C24" s="12" t="s">
        <v>119</v>
      </c>
      <c r="D24" s="4" t="s">
        <v>48</v>
      </c>
    </row>
    <row r="25" ht="18.0" customHeight="1">
      <c r="A25" s="5" t="s">
        <v>81</v>
      </c>
      <c r="B25" s="4" t="s">
        <v>82</v>
      </c>
      <c r="C25" s="12" t="s">
        <v>120</v>
      </c>
      <c r="D25" s="4" t="s">
        <v>48</v>
      </c>
    </row>
    <row r="26" ht="18.0" customHeight="1">
      <c r="A26" s="5" t="s">
        <v>84</v>
      </c>
      <c r="B26" s="4" t="s">
        <v>85</v>
      </c>
      <c r="C26" s="12" t="s">
        <v>121</v>
      </c>
      <c r="D26" s="4" t="s">
        <v>48</v>
      </c>
    </row>
    <row r="27" ht="18.0" customHeight="1">
      <c r="A27" s="5" t="s">
        <v>88</v>
      </c>
      <c r="B27" s="4" t="s">
        <v>89</v>
      </c>
      <c r="C27" s="12" t="s">
        <v>123</v>
      </c>
      <c r="D27" s="4" t="s">
        <v>48</v>
      </c>
    </row>
    <row r="28" ht="18.0" customHeight="1">
      <c r="A28" s="5" t="s">
        <v>91</v>
      </c>
      <c r="B28" s="4" t="s">
        <v>92</v>
      </c>
      <c r="C28" s="12" t="s">
        <v>124</v>
      </c>
      <c r="D28" s="4" t="s">
        <v>48</v>
      </c>
    </row>
    <row r="29" ht="18.0" customHeight="1">
      <c r="A29" s="5" t="s">
        <v>96</v>
      </c>
      <c r="B29" s="4" t="s">
        <v>98</v>
      </c>
      <c r="C29" s="12" t="s">
        <v>125</v>
      </c>
      <c r="D29" s="4" t="s">
        <v>48</v>
      </c>
    </row>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5">
    <mergeCell ref="A1:D1"/>
    <mergeCell ref="B3:D3"/>
    <mergeCell ref="B4:D4"/>
    <mergeCell ref="B5:D5"/>
    <mergeCell ref="A22:D22"/>
  </mergeCells>
  <dataValidations>
    <dataValidation type="decimal" allowBlank="1" showErrorMessage="1" sqref="C9:C18">
      <formula1>1.0</formula1>
      <formula2>5.0</formula2>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16.0"/>
    <col customWidth="1" min="2" max="2" width="86.0"/>
    <col customWidth="1" min="3" max="3" width="52.29"/>
    <col customWidth="1" min="4" max="4" width="38.0"/>
    <col customWidth="1" min="5" max="26" width="8.71"/>
  </cols>
  <sheetData>
    <row r="1" ht="18.0" customHeight="1">
      <c r="A1" s="2" t="s">
        <v>114</v>
      </c>
    </row>
    <row r="2" ht="18.0" customHeight="1"/>
    <row r="3" ht="18.0" customHeight="1">
      <c r="A3" s="3" t="s">
        <v>7</v>
      </c>
      <c r="B3" s="6" t="s">
        <v>39</v>
      </c>
      <c r="C3" s="7"/>
      <c r="D3" s="8"/>
    </row>
    <row r="4" ht="18.0" customHeight="1">
      <c r="A4" s="3" t="s">
        <v>15</v>
      </c>
      <c r="B4" s="9" t="s">
        <v>116</v>
      </c>
    </row>
    <row r="5" ht="18.0" customHeight="1">
      <c r="A5" s="3" t="s">
        <v>20</v>
      </c>
      <c r="B5" s="9" t="s">
        <v>117</v>
      </c>
    </row>
    <row r="6" ht="18.0" customHeight="1">
      <c r="A6" s="3" t="s">
        <v>25</v>
      </c>
      <c r="B6" s="9" t="s">
        <v>28</v>
      </c>
    </row>
    <row r="7" ht="18.0" customHeight="1"/>
    <row r="8" ht="18.0" customHeight="1">
      <c r="A8" s="3" t="s">
        <v>29</v>
      </c>
      <c r="B8" s="3" t="s">
        <v>31</v>
      </c>
      <c r="C8" s="3" t="s">
        <v>32</v>
      </c>
      <c r="D8" s="3" t="s">
        <v>33</v>
      </c>
    </row>
    <row r="9" ht="18.0" customHeight="1">
      <c r="A9" s="5" t="s">
        <v>34</v>
      </c>
      <c r="B9" s="4" t="s">
        <v>35</v>
      </c>
      <c r="C9" s="11">
        <v>2.0</v>
      </c>
      <c r="D9" s="4" t="s">
        <v>48</v>
      </c>
    </row>
    <row r="10" ht="18.0" customHeight="1">
      <c r="A10" s="5" t="s">
        <v>38</v>
      </c>
      <c r="B10" s="4" t="s">
        <v>40</v>
      </c>
      <c r="C10" s="11">
        <v>2.0</v>
      </c>
      <c r="D10" s="12" t="s">
        <v>118</v>
      </c>
    </row>
    <row r="11" ht="18.0" customHeight="1">
      <c r="A11" s="5" t="s">
        <v>44</v>
      </c>
      <c r="B11" s="4" t="s">
        <v>45</v>
      </c>
      <c r="C11" s="11">
        <v>4.0</v>
      </c>
      <c r="D11" s="4" t="s">
        <v>48</v>
      </c>
    </row>
    <row r="12" ht="18.0" customHeight="1">
      <c r="A12" s="5" t="s">
        <v>49</v>
      </c>
      <c r="B12" s="4" t="s">
        <v>50</v>
      </c>
      <c r="C12" s="11">
        <v>2.0</v>
      </c>
      <c r="D12" s="4" t="s">
        <v>48</v>
      </c>
    </row>
    <row r="13" ht="18.0" customHeight="1">
      <c r="A13" s="5" t="s">
        <v>53</v>
      </c>
      <c r="B13" s="4" t="s">
        <v>54</v>
      </c>
      <c r="C13" s="11">
        <v>2.0</v>
      </c>
      <c r="D13" s="12" t="s">
        <v>122</v>
      </c>
    </row>
    <row r="14" ht="18.0" customHeight="1">
      <c r="A14" s="5" t="s">
        <v>56</v>
      </c>
      <c r="B14" s="4" t="s">
        <v>57</v>
      </c>
      <c r="C14" s="11">
        <v>4.0</v>
      </c>
      <c r="D14" s="4" t="s">
        <v>48</v>
      </c>
    </row>
    <row r="15" ht="18.0" customHeight="1">
      <c r="A15" s="5" t="s">
        <v>59</v>
      </c>
      <c r="B15" s="4" t="s">
        <v>60</v>
      </c>
      <c r="C15" s="11">
        <v>4.0</v>
      </c>
      <c r="D15" s="4" t="s">
        <v>48</v>
      </c>
    </row>
    <row r="16" ht="18.0" customHeight="1">
      <c r="A16" s="5" t="s">
        <v>62</v>
      </c>
      <c r="B16" s="4" t="s">
        <v>63</v>
      </c>
      <c r="C16" s="11">
        <v>2.0</v>
      </c>
      <c r="D16" s="4" t="s">
        <v>48</v>
      </c>
    </row>
    <row r="17" ht="18.0" customHeight="1">
      <c r="A17" s="5" t="s">
        <v>65</v>
      </c>
      <c r="B17" s="4" t="s">
        <v>66</v>
      </c>
      <c r="C17" s="11">
        <v>2.0</v>
      </c>
      <c r="D17" s="12" t="s">
        <v>128</v>
      </c>
    </row>
    <row r="18" ht="18.0" customHeight="1">
      <c r="A18" s="5" t="s">
        <v>68</v>
      </c>
      <c r="B18" s="4" t="s">
        <v>70</v>
      </c>
      <c r="C18" s="11">
        <v>2.0</v>
      </c>
      <c r="D18" s="12" t="s">
        <v>130</v>
      </c>
    </row>
    <row r="19" ht="18.0" customHeight="1"/>
    <row r="20" ht="18.0" customHeight="1">
      <c r="A20" s="3" t="s">
        <v>72</v>
      </c>
      <c r="B20" s="10">
        <f>IF(COUNT(C9:C18)&lt;10,"",SUM(C9-1,5-C10,C11-1,5-C12,C13-1,5-C14,C15-1,5-C16,C17-1,5-C18)*2.5)</f>
        <v>55</v>
      </c>
      <c r="C20" s="10" t="s">
        <v>48</v>
      </c>
      <c r="D20" s="10" t="s">
        <v>48</v>
      </c>
    </row>
    <row r="21" ht="18.0" customHeight="1"/>
    <row r="22" ht="18.0" customHeight="1">
      <c r="A22" s="2" t="s">
        <v>73</v>
      </c>
    </row>
    <row r="23" ht="18.0" customHeight="1">
      <c r="A23" s="3" t="s">
        <v>74</v>
      </c>
      <c r="B23" s="3" t="s">
        <v>75</v>
      </c>
      <c r="C23" s="3" t="s">
        <v>76</v>
      </c>
      <c r="D23" s="3" t="s">
        <v>77</v>
      </c>
    </row>
    <row r="24" ht="18.0" customHeight="1">
      <c r="A24" s="5" t="s">
        <v>78</v>
      </c>
      <c r="B24" s="12" t="s">
        <v>79</v>
      </c>
      <c r="C24" s="12" t="s">
        <v>131</v>
      </c>
      <c r="D24" s="4" t="s">
        <v>48</v>
      </c>
    </row>
    <row r="25" ht="18.0" customHeight="1">
      <c r="A25" s="5" t="s">
        <v>81</v>
      </c>
      <c r="B25" s="4" t="s">
        <v>82</v>
      </c>
      <c r="C25" s="12" t="s">
        <v>133</v>
      </c>
      <c r="D25" s="4" t="s">
        <v>48</v>
      </c>
    </row>
    <row r="26" ht="18.0" customHeight="1">
      <c r="A26" s="5" t="s">
        <v>84</v>
      </c>
      <c r="B26" s="4" t="s">
        <v>85</v>
      </c>
      <c r="C26" s="12" t="s">
        <v>134</v>
      </c>
      <c r="D26" s="4" t="s">
        <v>48</v>
      </c>
    </row>
    <row r="27" ht="18.0" customHeight="1">
      <c r="A27" s="5" t="s">
        <v>88</v>
      </c>
      <c r="B27" s="4" t="s">
        <v>89</v>
      </c>
      <c r="C27" s="12" t="s">
        <v>137</v>
      </c>
      <c r="D27" s="4" t="s">
        <v>48</v>
      </c>
    </row>
    <row r="28" ht="18.0" customHeight="1">
      <c r="A28" s="5" t="s">
        <v>91</v>
      </c>
      <c r="B28" s="4" t="s">
        <v>92</v>
      </c>
      <c r="C28" s="12" t="s">
        <v>139</v>
      </c>
      <c r="D28" s="4" t="s">
        <v>48</v>
      </c>
    </row>
    <row r="29" ht="18.0" customHeight="1">
      <c r="A29" s="5" t="s">
        <v>96</v>
      </c>
      <c r="B29" s="4" t="s">
        <v>98</v>
      </c>
      <c r="C29" s="12" t="s">
        <v>140</v>
      </c>
      <c r="D29" s="4" t="s">
        <v>48</v>
      </c>
    </row>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5">
    <mergeCell ref="A1:D1"/>
    <mergeCell ref="B3:D3"/>
    <mergeCell ref="B4:D4"/>
    <mergeCell ref="B5:D5"/>
    <mergeCell ref="A22:D22"/>
  </mergeCells>
  <dataValidations>
    <dataValidation type="decimal" allowBlank="1" showErrorMessage="1" sqref="C9:C18">
      <formula1>1.0</formula1>
      <formula2>5.0</formula2>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42.43"/>
    <col customWidth="1" min="2" max="2" width="86.0"/>
    <col customWidth="1" min="3" max="3" width="28.0"/>
    <col customWidth="1" min="4" max="4" width="38.0"/>
    <col customWidth="1" min="5" max="26" width="8.71"/>
  </cols>
  <sheetData>
    <row r="1" ht="18.0" customHeight="1">
      <c r="A1" s="2" t="s">
        <v>126</v>
      </c>
    </row>
    <row r="2" ht="18.0" customHeight="1"/>
    <row r="3" ht="18.0" customHeight="1">
      <c r="A3" s="3" t="s">
        <v>7</v>
      </c>
      <c r="B3" s="6" t="s">
        <v>43</v>
      </c>
      <c r="C3" s="7"/>
      <c r="D3" s="8"/>
    </row>
    <row r="4" ht="18.0" customHeight="1">
      <c r="A4" s="3" t="s">
        <v>15</v>
      </c>
      <c r="B4" s="9" t="s">
        <v>127</v>
      </c>
    </row>
    <row r="5" ht="18.0" customHeight="1">
      <c r="A5" s="3" t="s">
        <v>20</v>
      </c>
      <c r="B5" s="10" t="s">
        <v>48</v>
      </c>
    </row>
    <row r="6" ht="18.0" customHeight="1">
      <c r="A6" s="3" t="s">
        <v>25</v>
      </c>
      <c r="B6" s="9" t="s">
        <v>129</v>
      </c>
    </row>
    <row r="7" ht="18.0" customHeight="1"/>
    <row r="8" ht="18.0" customHeight="1">
      <c r="A8" s="3" t="s">
        <v>29</v>
      </c>
      <c r="B8" s="3" t="s">
        <v>31</v>
      </c>
      <c r="C8" s="3" t="s">
        <v>32</v>
      </c>
      <c r="D8" s="3" t="s">
        <v>33</v>
      </c>
    </row>
    <row r="9" ht="18.0" customHeight="1">
      <c r="A9" s="5" t="s">
        <v>34</v>
      </c>
      <c r="B9" s="4" t="s">
        <v>35</v>
      </c>
      <c r="C9" s="11">
        <v>3.0</v>
      </c>
      <c r="D9" s="4" t="s">
        <v>48</v>
      </c>
    </row>
    <row r="10" ht="18.0" customHeight="1">
      <c r="A10" s="5" t="s">
        <v>38</v>
      </c>
      <c r="B10" s="4" t="s">
        <v>40</v>
      </c>
      <c r="C10" s="11">
        <v>1.0</v>
      </c>
      <c r="D10" s="4" t="s">
        <v>48</v>
      </c>
    </row>
    <row r="11" ht="18.0" customHeight="1">
      <c r="A11" s="5" t="s">
        <v>44</v>
      </c>
      <c r="B11" s="4" t="s">
        <v>45</v>
      </c>
      <c r="C11" s="11">
        <v>4.0</v>
      </c>
      <c r="D11" s="4" t="s">
        <v>48</v>
      </c>
    </row>
    <row r="12" ht="18.0" customHeight="1">
      <c r="A12" s="5" t="s">
        <v>49</v>
      </c>
      <c r="B12" s="4" t="s">
        <v>50</v>
      </c>
      <c r="C12" s="11">
        <v>2.0</v>
      </c>
      <c r="D12" s="4" t="s">
        <v>48</v>
      </c>
    </row>
    <row r="13" ht="18.0" customHeight="1">
      <c r="A13" s="5" t="s">
        <v>53</v>
      </c>
      <c r="B13" s="4" t="s">
        <v>54</v>
      </c>
      <c r="C13" s="11">
        <v>3.0</v>
      </c>
      <c r="D13" s="4" t="s">
        <v>48</v>
      </c>
    </row>
    <row r="14" ht="18.0" customHeight="1">
      <c r="A14" s="5" t="s">
        <v>56</v>
      </c>
      <c r="B14" s="4" t="s">
        <v>57</v>
      </c>
      <c r="C14" s="11">
        <v>3.0</v>
      </c>
      <c r="D14" s="4" t="s">
        <v>48</v>
      </c>
    </row>
    <row r="15" ht="18.0" customHeight="1">
      <c r="A15" s="5" t="s">
        <v>59</v>
      </c>
      <c r="B15" s="4" t="s">
        <v>60</v>
      </c>
      <c r="C15" s="11">
        <v>4.0</v>
      </c>
      <c r="D15" s="4" t="s">
        <v>48</v>
      </c>
    </row>
    <row r="16" ht="18.0" customHeight="1">
      <c r="A16" s="5" t="s">
        <v>62</v>
      </c>
      <c r="B16" s="4" t="s">
        <v>63</v>
      </c>
      <c r="C16" s="11">
        <v>1.0</v>
      </c>
      <c r="D16" s="4" t="s">
        <v>48</v>
      </c>
    </row>
    <row r="17" ht="18.0" customHeight="1">
      <c r="A17" s="5" t="s">
        <v>65</v>
      </c>
      <c r="B17" s="4" t="s">
        <v>66</v>
      </c>
      <c r="C17" s="11">
        <v>5.0</v>
      </c>
      <c r="D17" s="4" t="s">
        <v>48</v>
      </c>
    </row>
    <row r="18" ht="18.0" customHeight="1">
      <c r="A18" s="5" t="s">
        <v>68</v>
      </c>
      <c r="B18" s="4" t="s">
        <v>70</v>
      </c>
      <c r="C18" s="11">
        <v>3.0</v>
      </c>
      <c r="D18" s="4" t="s">
        <v>48</v>
      </c>
    </row>
    <row r="19" ht="18.0" customHeight="1"/>
    <row r="20" ht="18.0" customHeight="1">
      <c r="A20" s="3" t="s">
        <v>72</v>
      </c>
      <c r="B20" s="10">
        <f>IF(COUNT(C9:C18)&lt;10,"",SUM(C9-1,5-C10,C11-1,5-C12,C13-1,5-C14,C15-1,5-C16,C17-1,5-C18)*2.5)</f>
        <v>72.5</v>
      </c>
      <c r="C20" s="10" t="s">
        <v>48</v>
      </c>
      <c r="D20" s="10" t="s">
        <v>48</v>
      </c>
    </row>
    <row r="21" ht="18.0" customHeight="1"/>
    <row r="22" ht="18.0" customHeight="1">
      <c r="A22" s="2" t="s">
        <v>73</v>
      </c>
    </row>
    <row r="23" ht="18.0" customHeight="1">
      <c r="A23" s="3" t="s">
        <v>74</v>
      </c>
      <c r="B23" s="3" t="s">
        <v>75</v>
      </c>
      <c r="C23" s="3" t="s">
        <v>76</v>
      </c>
      <c r="D23" s="3" t="s">
        <v>77</v>
      </c>
    </row>
    <row r="24" ht="18.0" customHeight="1">
      <c r="A24" s="5" t="s">
        <v>78</v>
      </c>
      <c r="B24" s="12" t="s">
        <v>79</v>
      </c>
      <c r="C24" s="12" t="s">
        <v>142</v>
      </c>
      <c r="D24" s="4" t="s">
        <v>48</v>
      </c>
    </row>
    <row r="25" ht="18.0" customHeight="1">
      <c r="A25" s="5" t="s">
        <v>81</v>
      </c>
      <c r="B25" s="4" t="s">
        <v>82</v>
      </c>
      <c r="C25" s="12" t="s">
        <v>143</v>
      </c>
      <c r="D25" s="4" t="s">
        <v>48</v>
      </c>
    </row>
    <row r="26" ht="18.0" customHeight="1">
      <c r="A26" s="5" t="s">
        <v>84</v>
      </c>
      <c r="B26" s="4" t="s">
        <v>85</v>
      </c>
      <c r="C26" s="12" t="s">
        <v>144</v>
      </c>
      <c r="D26" s="4" t="s">
        <v>48</v>
      </c>
    </row>
    <row r="27" ht="18.0" customHeight="1">
      <c r="A27" s="5" t="s">
        <v>88</v>
      </c>
      <c r="B27" s="4" t="s">
        <v>89</v>
      </c>
      <c r="C27" s="12" t="s">
        <v>145</v>
      </c>
      <c r="D27" s="4" t="s">
        <v>48</v>
      </c>
    </row>
    <row r="28" ht="18.0" customHeight="1">
      <c r="A28" s="5" t="s">
        <v>91</v>
      </c>
      <c r="B28" s="4" t="s">
        <v>92</v>
      </c>
      <c r="C28" s="12" t="s">
        <v>146</v>
      </c>
      <c r="D28" s="4" t="s">
        <v>48</v>
      </c>
    </row>
    <row r="29" ht="18.0" customHeight="1">
      <c r="A29" s="5" t="s">
        <v>96</v>
      </c>
      <c r="B29" s="4" t="s">
        <v>98</v>
      </c>
      <c r="C29" s="12" t="s">
        <v>147</v>
      </c>
      <c r="D29" s="4" t="s">
        <v>48</v>
      </c>
    </row>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5">
    <mergeCell ref="A1:D1"/>
    <mergeCell ref="B3:D3"/>
    <mergeCell ref="B4:D4"/>
    <mergeCell ref="B5:D5"/>
    <mergeCell ref="A22:D22"/>
  </mergeCells>
  <dataValidations>
    <dataValidation type="decimal" allowBlank="1" showErrorMessage="1" sqref="C9:C18">
      <formula1>1.0</formula1>
      <formula2>5.0</formula2>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16.0"/>
    <col customWidth="1" min="2" max="2" width="86.0"/>
    <col customWidth="1" min="3" max="3" width="53.71"/>
    <col customWidth="1" min="4" max="4" width="38.0"/>
    <col customWidth="1" min="5" max="26" width="8.71"/>
  </cols>
  <sheetData>
    <row r="1" ht="18.0" customHeight="1">
      <c r="A1" s="2" t="s">
        <v>132</v>
      </c>
    </row>
    <row r="2" ht="18.0" customHeight="1"/>
    <row r="3" ht="18.0" customHeight="1">
      <c r="A3" s="3" t="s">
        <v>7</v>
      </c>
      <c r="B3" s="6" t="s">
        <v>46</v>
      </c>
      <c r="C3" s="7"/>
      <c r="D3" s="8"/>
    </row>
    <row r="4" ht="18.0" customHeight="1">
      <c r="A4" s="3" t="s">
        <v>15</v>
      </c>
      <c r="B4" s="9" t="s">
        <v>135</v>
      </c>
    </row>
    <row r="5" ht="18.0" customHeight="1">
      <c r="A5" s="3" t="s">
        <v>20</v>
      </c>
      <c r="B5" s="9" t="s">
        <v>136</v>
      </c>
    </row>
    <row r="6" ht="18.0" customHeight="1">
      <c r="A6" s="3" t="s">
        <v>25</v>
      </c>
      <c r="B6" s="9" t="s">
        <v>138</v>
      </c>
    </row>
    <row r="7" ht="18.0" customHeight="1"/>
    <row r="8" ht="18.0" customHeight="1">
      <c r="A8" s="3" t="s">
        <v>29</v>
      </c>
      <c r="B8" s="3" t="s">
        <v>31</v>
      </c>
      <c r="C8" s="3" t="s">
        <v>32</v>
      </c>
      <c r="D8" s="3" t="s">
        <v>33</v>
      </c>
    </row>
    <row r="9" ht="18.0" customHeight="1">
      <c r="A9" s="5" t="s">
        <v>34</v>
      </c>
      <c r="B9" s="4" t="s">
        <v>35</v>
      </c>
      <c r="C9" s="11">
        <v>4.0</v>
      </c>
      <c r="D9" s="12" t="s">
        <v>141</v>
      </c>
    </row>
    <row r="10" ht="18.0" customHeight="1">
      <c r="A10" s="5" t="s">
        <v>38</v>
      </c>
      <c r="B10" s="4" t="s">
        <v>40</v>
      </c>
      <c r="C10" s="11">
        <v>2.0</v>
      </c>
      <c r="D10" s="4" t="s">
        <v>48</v>
      </c>
    </row>
    <row r="11" ht="18.0" customHeight="1">
      <c r="A11" s="5" t="s">
        <v>44</v>
      </c>
      <c r="B11" s="4" t="s">
        <v>45</v>
      </c>
      <c r="C11" s="11">
        <v>4.0</v>
      </c>
      <c r="D11" s="4" t="s">
        <v>48</v>
      </c>
    </row>
    <row r="12" ht="18.0" customHeight="1">
      <c r="A12" s="5" t="s">
        <v>49</v>
      </c>
      <c r="B12" s="4" t="s">
        <v>50</v>
      </c>
      <c r="C12" s="11">
        <v>1.0</v>
      </c>
      <c r="D12" s="4" t="s">
        <v>48</v>
      </c>
    </row>
    <row r="13" ht="18.0" customHeight="1">
      <c r="A13" s="5" t="s">
        <v>53</v>
      </c>
      <c r="B13" s="4" t="s">
        <v>54</v>
      </c>
      <c r="C13" s="11">
        <v>5.0</v>
      </c>
      <c r="D13" s="4" t="s">
        <v>48</v>
      </c>
    </row>
    <row r="14" ht="18.0" customHeight="1">
      <c r="A14" s="5" t="s">
        <v>56</v>
      </c>
      <c r="B14" s="4" t="s">
        <v>57</v>
      </c>
      <c r="C14" s="11">
        <v>2.0</v>
      </c>
      <c r="D14" s="4" t="s">
        <v>48</v>
      </c>
    </row>
    <row r="15" ht="18.0" customHeight="1">
      <c r="A15" s="5" t="s">
        <v>59</v>
      </c>
      <c r="B15" s="4" t="s">
        <v>60</v>
      </c>
      <c r="C15" s="11">
        <v>3.0</v>
      </c>
      <c r="D15" s="12" t="s">
        <v>148</v>
      </c>
    </row>
    <row r="16" ht="18.0" customHeight="1">
      <c r="A16" s="5" t="s">
        <v>62</v>
      </c>
      <c r="B16" s="4" t="s">
        <v>63</v>
      </c>
      <c r="C16" s="11">
        <v>2.0</v>
      </c>
      <c r="D16" s="4" t="s">
        <v>48</v>
      </c>
    </row>
    <row r="17" ht="18.0" customHeight="1">
      <c r="A17" s="5" t="s">
        <v>65</v>
      </c>
      <c r="B17" s="4" t="s">
        <v>66</v>
      </c>
      <c r="C17" s="11">
        <v>2.0</v>
      </c>
      <c r="D17" s="12" t="s">
        <v>150</v>
      </c>
    </row>
    <row r="18" ht="18.0" customHeight="1">
      <c r="A18" s="5" t="s">
        <v>68</v>
      </c>
      <c r="B18" s="4" t="s">
        <v>70</v>
      </c>
      <c r="C18" s="11">
        <v>3.0</v>
      </c>
      <c r="D18" s="12" t="s">
        <v>152</v>
      </c>
    </row>
    <row r="19" ht="18.0" customHeight="1"/>
    <row r="20" ht="18.0" customHeight="1">
      <c r="A20" s="3" t="s">
        <v>72</v>
      </c>
      <c r="B20" s="10">
        <f>IF(COUNT(C9:C18)&lt;10,"",SUM(C9-1,5-C10,C11-1,5-C12,C13-1,5-C14,C15-1,5-C16,C17-1,5-C18)*2.5)</f>
        <v>70</v>
      </c>
      <c r="C20" s="10" t="s">
        <v>48</v>
      </c>
      <c r="D20" s="10" t="s">
        <v>48</v>
      </c>
    </row>
    <row r="21" ht="18.0" customHeight="1"/>
    <row r="22" ht="18.0" customHeight="1">
      <c r="A22" s="2" t="s">
        <v>73</v>
      </c>
    </row>
    <row r="23" ht="18.0" customHeight="1">
      <c r="A23" s="3" t="s">
        <v>74</v>
      </c>
      <c r="B23" s="3" t="s">
        <v>75</v>
      </c>
      <c r="C23" s="3" t="s">
        <v>76</v>
      </c>
      <c r="D23" s="3" t="s">
        <v>77</v>
      </c>
    </row>
    <row r="24" ht="18.0" customHeight="1">
      <c r="A24" s="5" t="s">
        <v>78</v>
      </c>
      <c r="B24" s="12" t="s">
        <v>79</v>
      </c>
      <c r="C24" s="12" t="s">
        <v>154</v>
      </c>
      <c r="D24" s="4" t="s">
        <v>48</v>
      </c>
    </row>
    <row r="25" ht="18.0" customHeight="1">
      <c r="A25" s="5" t="s">
        <v>81</v>
      </c>
      <c r="B25" s="4" t="s">
        <v>82</v>
      </c>
      <c r="C25" s="12" t="s">
        <v>155</v>
      </c>
      <c r="D25" s="4" t="s">
        <v>48</v>
      </c>
    </row>
    <row r="26" ht="18.0" customHeight="1">
      <c r="A26" s="5" t="s">
        <v>84</v>
      </c>
      <c r="B26" s="4" t="s">
        <v>85</v>
      </c>
      <c r="C26" s="12" t="s">
        <v>156</v>
      </c>
      <c r="D26" s="4" t="s">
        <v>48</v>
      </c>
    </row>
    <row r="27" ht="18.0" customHeight="1">
      <c r="A27" s="5" t="s">
        <v>88</v>
      </c>
      <c r="B27" s="4" t="s">
        <v>89</v>
      </c>
      <c r="C27" s="12" t="s">
        <v>157</v>
      </c>
      <c r="D27" s="4" t="s">
        <v>48</v>
      </c>
    </row>
    <row r="28" ht="18.0" customHeight="1">
      <c r="A28" s="5" t="s">
        <v>91</v>
      </c>
      <c r="B28" s="4" t="s">
        <v>92</v>
      </c>
      <c r="C28" s="12" t="s">
        <v>158</v>
      </c>
      <c r="D28" s="4" t="s">
        <v>48</v>
      </c>
    </row>
    <row r="29" ht="18.0" customHeight="1">
      <c r="A29" s="5" t="s">
        <v>96</v>
      </c>
      <c r="B29" s="4" t="s">
        <v>98</v>
      </c>
      <c r="C29" s="12" t="s">
        <v>159</v>
      </c>
      <c r="D29" s="4" t="s">
        <v>48</v>
      </c>
    </row>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5">
    <mergeCell ref="A1:D1"/>
    <mergeCell ref="B3:D3"/>
    <mergeCell ref="B4:D4"/>
    <mergeCell ref="A22:D22"/>
    <mergeCell ref="B5:D5"/>
  </mergeCells>
  <dataValidations>
    <dataValidation type="decimal" allowBlank="1" showErrorMessage="1" sqref="C9:C18">
      <formula1>1.0</formula1>
      <formula2>5.0</formula2>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16.0"/>
    <col customWidth="1" min="2" max="2" width="86.0"/>
    <col customWidth="1" min="3" max="3" width="42.71"/>
    <col customWidth="1" min="4" max="4" width="38.0"/>
    <col customWidth="1" min="5" max="26" width="8.71"/>
  </cols>
  <sheetData>
    <row r="1" ht="18.0" customHeight="1">
      <c r="A1" s="2" t="s">
        <v>149</v>
      </c>
    </row>
    <row r="2" ht="18.0" customHeight="1"/>
    <row r="3" ht="18.0" customHeight="1">
      <c r="A3" s="3" t="s">
        <v>7</v>
      </c>
      <c r="B3" s="6" t="s">
        <v>51</v>
      </c>
      <c r="C3" s="7"/>
      <c r="D3" s="8"/>
    </row>
    <row r="4" ht="18.0" customHeight="1">
      <c r="A4" s="3" t="s">
        <v>15</v>
      </c>
      <c r="B4" s="9" t="s">
        <v>151</v>
      </c>
    </row>
    <row r="5" ht="18.0" customHeight="1">
      <c r="A5" s="3" t="s">
        <v>20</v>
      </c>
      <c r="B5" s="9" t="s">
        <v>153</v>
      </c>
    </row>
    <row r="6" ht="18.0" customHeight="1">
      <c r="A6" s="3" t="s">
        <v>25</v>
      </c>
      <c r="B6" s="9" t="s">
        <v>28</v>
      </c>
    </row>
    <row r="7" ht="18.0" customHeight="1"/>
    <row r="8" ht="18.0" customHeight="1">
      <c r="A8" s="3" t="s">
        <v>29</v>
      </c>
      <c r="B8" s="3" t="s">
        <v>31</v>
      </c>
      <c r="C8" s="3" t="s">
        <v>32</v>
      </c>
      <c r="D8" s="3" t="s">
        <v>33</v>
      </c>
    </row>
    <row r="9" ht="18.0" customHeight="1">
      <c r="A9" s="5" t="s">
        <v>34</v>
      </c>
      <c r="B9" s="4" t="s">
        <v>35</v>
      </c>
      <c r="C9" s="11">
        <v>3.0</v>
      </c>
      <c r="D9" s="4" t="s">
        <v>48</v>
      </c>
    </row>
    <row r="10" ht="18.0" customHeight="1">
      <c r="A10" s="5" t="s">
        <v>38</v>
      </c>
      <c r="B10" s="4" t="s">
        <v>40</v>
      </c>
      <c r="C10" s="11">
        <v>3.0</v>
      </c>
      <c r="D10" s="4" t="s">
        <v>48</v>
      </c>
    </row>
    <row r="11" ht="18.0" customHeight="1">
      <c r="A11" s="5" t="s">
        <v>44</v>
      </c>
      <c r="B11" s="4" t="s">
        <v>45</v>
      </c>
      <c r="C11" s="11">
        <v>2.0</v>
      </c>
      <c r="D11" s="4" t="s">
        <v>48</v>
      </c>
    </row>
    <row r="12" ht="18.0" customHeight="1">
      <c r="A12" s="5" t="s">
        <v>49</v>
      </c>
      <c r="B12" s="4" t="s">
        <v>50</v>
      </c>
      <c r="C12" s="11">
        <v>2.0</v>
      </c>
      <c r="D12" s="4" t="s">
        <v>48</v>
      </c>
    </row>
    <row r="13" ht="18.0" customHeight="1">
      <c r="A13" s="5" t="s">
        <v>53</v>
      </c>
      <c r="B13" s="4" t="s">
        <v>54</v>
      </c>
      <c r="C13" s="11">
        <v>4.0</v>
      </c>
      <c r="D13" s="4" t="s">
        <v>48</v>
      </c>
    </row>
    <row r="14" ht="18.0" customHeight="1">
      <c r="A14" s="5" t="s">
        <v>56</v>
      </c>
      <c r="B14" s="4" t="s">
        <v>57</v>
      </c>
      <c r="C14" s="11">
        <v>4.0</v>
      </c>
      <c r="D14" s="4" t="s">
        <v>48</v>
      </c>
    </row>
    <row r="15" ht="18.0" customHeight="1">
      <c r="A15" s="5" t="s">
        <v>59</v>
      </c>
      <c r="B15" s="4" t="s">
        <v>60</v>
      </c>
      <c r="C15" s="11">
        <v>2.0</v>
      </c>
      <c r="D15" s="4" t="s">
        <v>48</v>
      </c>
    </row>
    <row r="16" ht="18.0" customHeight="1">
      <c r="A16" s="5" t="s">
        <v>62</v>
      </c>
      <c r="B16" s="4" t="s">
        <v>63</v>
      </c>
      <c r="C16" s="11">
        <v>4.0</v>
      </c>
      <c r="D16" s="4" t="s">
        <v>48</v>
      </c>
    </row>
    <row r="17" ht="18.0" customHeight="1">
      <c r="A17" s="5" t="s">
        <v>65</v>
      </c>
      <c r="B17" s="4" t="s">
        <v>66</v>
      </c>
      <c r="C17" s="11">
        <v>3.0</v>
      </c>
      <c r="D17" s="4" t="s">
        <v>48</v>
      </c>
    </row>
    <row r="18" ht="18.0" customHeight="1">
      <c r="A18" s="5" t="s">
        <v>68</v>
      </c>
      <c r="B18" s="4" t="s">
        <v>70</v>
      </c>
      <c r="C18" s="11">
        <v>4.0</v>
      </c>
      <c r="D18" s="4" t="s">
        <v>48</v>
      </c>
    </row>
    <row r="19" ht="18.0" customHeight="1"/>
    <row r="20" ht="18.0" customHeight="1">
      <c r="A20" s="3" t="s">
        <v>72</v>
      </c>
      <c r="B20" s="10">
        <f>IF(COUNT(C9:C18)&lt;10,"",SUM(C9-1,5-C10,C11-1,5-C12,C13-1,5-C14,C15-1,5-C16,C17-1,5-C18)*2.5)</f>
        <v>42.5</v>
      </c>
      <c r="C20" s="10" t="s">
        <v>48</v>
      </c>
      <c r="D20" s="10" t="s">
        <v>48</v>
      </c>
    </row>
    <row r="21" ht="18.0" customHeight="1"/>
    <row r="22" ht="18.0" customHeight="1">
      <c r="A22" s="2" t="s">
        <v>73</v>
      </c>
    </row>
    <row r="23" ht="18.0" customHeight="1">
      <c r="A23" s="3" t="s">
        <v>74</v>
      </c>
      <c r="B23" s="3" t="s">
        <v>75</v>
      </c>
      <c r="C23" s="3" t="s">
        <v>76</v>
      </c>
      <c r="D23" s="3" t="s">
        <v>77</v>
      </c>
    </row>
    <row r="24" ht="18.0" customHeight="1">
      <c r="A24" s="5" t="s">
        <v>78</v>
      </c>
      <c r="B24" s="12" t="s">
        <v>79</v>
      </c>
      <c r="C24" s="12" t="s">
        <v>160</v>
      </c>
      <c r="D24" s="4" t="s">
        <v>48</v>
      </c>
    </row>
    <row r="25" ht="18.0" customHeight="1">
      <c r="A25" s="5" t="s">
        <v>81</v>
      </c>
      <c r="B25" s="4" t="s">
        <v>82</v>
      </c>
      <c r="C25" s="12" t="s">
        <v>161</v>
      </c>
      <c r="D25" s="4" t="s">
        <v>48</v>
      </c>
    </row>
    <row r="26" ht="18.0" customHeight="1">
      <c r="A26" s="5" t="s">
        <v>84</v>
      </c>
      <c r="B26" s="4" t="s">
        <v>85</v>
      </c>
      <c r="C26" s="12" t="s">
        <v>162</v>
      </c>
      <c r="D26" s="4" t="s">
        <v>48</v>
      </c>
    </row>
    <row r="27" ht="18.0" customHeight="1">
      <c r="A27" s="5" t="s">
        <v>88</v>
      </c>
      <c r="B27" s="4" t="s">
        <v>89</v>
      </c>
      <c r="C27" s="12" t="s">
        <v>163</v>
      </c>
      <c r="D27" s="4" t="s">
        <v>48</v>
      </c>
    </row>
    <row r="28" ht="18.0" customHeight="1">
      <c r="A28" s="5" t="s">
        <v>91</v>
      </c>
      <c r="B28" s="4" t="s">
        <v>92</v>
      </c>
      <c r="C28" s="12" t="s">
        <v>164</v>
      </c>
      <c r="D28" s="4" t="s">
        <v>48</v>
      </c>
    </row>
    <row r="29" ht="18.0" customHeight="1">
      <c r="A29" s="5" t="s">
        <v>96</v>
      </c>
      <c r="B29" s="4" t="s">
        <v>98</v>
      </c>
      <c r="C29" s="12" t="s">
        <v>165</v>
      </c>
      <c r="D29" s="4" t="s">
        <v>48</v>
      </c>
    </row>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5">
    <mergeCell ref="A1:D1"/>
    <mergeCell ref="B3:D3"/>
    <mergeCell ref="B4:D4"/>
    <mergeCell ref="B5:D5"/>
    <mergeCell ref="A22:D22"/>
  </mergeCells>
  <dataValidations>
    <dataValidation type="decimal" allowBlank="1" showErrorMessage="1" sqref="C9:C18">
      <formula1>1.0</formula1>
      <formula2>5.0</formula2>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coreProperties>
</file>