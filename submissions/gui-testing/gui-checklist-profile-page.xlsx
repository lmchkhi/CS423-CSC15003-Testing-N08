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64bea6baef48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ạm vi" sheetId="1" r:id="R62be479204854f45"/>
    <x:sheet xmlns:r="http://schemas.openxmlformats.org/officeDocument/2006/relationships" name="Tóm tắt" sheetId="2" r:id="Rfc76f32dbcfc4e74"/>
    <x:sheet xmlns:r="http://schemas.openxmlformats.org/officeDocument/2006/relationships" name="Checklist GUI" sheetId="3" r:id="Rde5bc15aa79144a4"/>
    <x:sheet xmlns:r="http://schemas.openxmlformats.org/officeDocument/2006/relationships" name="Phản biện thủ công" sheetId="4" r:id="R58c5dfefeb7e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2"/>
      <x:color rgb="FF17365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5F9FC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D9E2F3"/>
      </x:bottom>
    </x:border>
    <x:border>
      <x:left style="thin">
        <x:color rgb="FFB4C6D7"/>
      </x:left>
      <x:top style="thin">
        <x:color rgb="FFD9E2F3"/>
      </x:top>
      <x:bottom style="thin">
        <x:color rgb="FFD9E2F3"/>
      </x:bottom>
    </x:border>
    <x:border>
      <x:right style="thin">
        <x:color rgb="FFB4C6D7"/>
      </x:right>
      <x:top style="thin">
        <x:color rgb="FFD9E2F3"/>
      </x:top>
      <x:bottom style="thin">
        <x:color rgb="FFD9E2F3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medium">
        <x:color rgb="FF1F4E78"/>
      </x:top>
      <x:bottom style="thin">
        <x:color rgb="FFD9E2F3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6" borderId="5" xfId="0" applyNumberFormat="1" applyFont="1" applyFill="1" applyBorder="1" applyAlignment="1">
      <x:alignment horizontal="center" vertical="top" wrapText="1"/>
    </x:xf>
    <x:xf numFmtId="0" fontId="0" fillId="6" borderId="6" xfId="0" applyNumberFormat="1" applyFont="1" applyFill="1" applyBorder="1" applyAlignment="1">
      <x:alignment horizontal="center" vertical="top"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horizontal="center"/>
    </x:xf>
    <x:xf numFmtId="0" fontId="0" fillId="0" borderId="6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horizont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6" borderId="7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51e8694d8d4422" /><Relationship Type="http://schemas.openxmlformats.org/officeDocument/2006/relationships/theme" Target="/xl/theme/theme1.xml" Id="R0d737458b7834baf" /><Relationship Type="http://schemas.openxmlformats.org/officeDocument/2006/relationships/sharedStrings" Target="/xl/sharedStrings.xml" Id="Rff85aa7de49847a0" /><Relationship Type="http://schemas.openxmlformats.org/officeDocument/2006/relationships/worksheet" Target="/xl/worksheets/sheet1.xml" Id="R62be479204854f45" /><Relationship Type="http://schemas.openxmlformats.org/officeDocument/2006/relationships/worksheet" Target="/xl/worksheets/sheet2.xml" Id="Rfc76f32dbcfc4e74" /><Relationship Type="http://schemas.openxmlformats.org/officeDocument/2006/relationships/worksheet" Target="/xl/worksheets/sheet3.xml" Id="Rde5bc15aa79144a4" /><Relationship Type="http://schemas.openxmlformats.org/officeDocument/2006/relationships/worksheet" Target="/xl/worksheets/sheet4.xml" Id="R58c5dfefeb7e44e7" /></Relationships>
</file>

<file path=xl/tables/table1.xml><?xml version="1.0" encoding="utf-8"?>
<x:table xmlns:x="http://schemas.openxmlformats.org/spreadsheetml/2006/main" id="1" name="GuiChecklistTable" displayName="GuiChecklistTable" ref="A1:I53" headerRowCount="1" totalsRowCount="0" totalsRowShown="0">
  <x:autoFilter ref="A1:I53"/>
  <x:tableColumns count="9">
    <x:tableColumn id="1" name="ID"/>
    <x:tableColumn id="2" name="IA"/>
    <x:tableColumn id="3" name="Màn hình"/>
    <x:tableColumn id="4" name="Vai trò"/>
    <x:tableColumn id="5" name="Hạng mục kiểm tra"/>
    <x:tableColumn id="6" name="Kết quả mong đợi"/>
    <x:tableColumn id="7" name="Trạng thái"/>
    <x:tableColumn id="8" name="Ghi chú"/>
    <x:tableColumn id="9" name="Bằng chứ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105eff7953c4b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05" hidden="0" customWidth="1"/>
  </x:cols>
  <x:sheetData>
    <x:row r="1" ht="28" customHeight="1">
      <x:c r="A1" s="3" t="str">
        <x:v>PHẠM VI CHECKLIST GUI</x:v>
      </x:c>
      <x:c r="B1" s="3"/>
      <x:c r="C1" s="3"/>
      <x:c r="D1" s="3"/>
      <x:c r="E1" s="3"/>
      <x:c r="F1" s="3"/>
    </x:row>
    <x:row r="2" ht="28" customHeight="1">
      <x:c r="A2" s="3"/>
      <x:c r="B2" s="3"/>
      <x:c r="C2" s="3"/>
      <x:c r="D2" s="3"/>
      <x:c r="E2" s="3"/>
      <x:c r="F2" s="3"/>
    </x:row>
    <x:row r="4">
      <x:c r="A4" s="17" t="str">
        <x:v>Thuộc tính</x:v>
      </x:c>
      <x:c r="B4" s="17" t="str">
        <x:v>Nội dung</x:v>
      </x:c>
    </x:row>
    <x:row r="5" ht="15" hidden="0" customHeight="1">
      <x:c r="A5" s="18" t="str">
        <x:v>Màn hình chính (tạm chọn)</x:v>
      </x:c>
      <x:c r="B5" s="19" t="str">
        <x:v>Profile page</x:v>
      </x:c>
    </x:row>
    <x:row r="6" ht="15" hidden="0" customHeight="1">
      <x:c r="A6" s="18" t="str">
        <x:v>Màn hình hỗ trợ</x:v>
      </x:c>
      <x:c r="B6" s="19" t="str">
        <x:v>Update profile form; Order history screen; Admin order management</x:v>
      </x:c>
    </x:row>
    <x:row r="7" ht="15" hidden="0" customHeight="1">
      <x:c r="A7" s="18" t="str">
        <x:v>Nền tảng</x:v>
      </x:c>
      <x:c r="B7" s="19" t="str">
        <x:v>Web người dùng và Web Admin</x:v>
      </x:c>
    </x:row>
    <x:row r="8" ht="39.599998474121094" hidden="0" customHeight="1">
      <x:c r="A8" s="18" t="str">
        <x:v>Bằng chứng đã xem</x:v>
      </x:c>
      <x:c r="B8" s="19" t="str">
        <x:v>README.md (SRS FR-04, FR-10, FR-11, FR-12, FR-18, FR-21–FR-24, SEC-02/03/04/06); api_specification.md; frontend-web/src/pages/Profile.jsx; frontend-web/src/App.jsx; frontend-web/src/context/AuthContext.jsx; frontend-admin/src/App.jsx; backend/server.js</x:v>
      </x:c>
    </x:row>
    <x:row r="9" ht="15" hidden="0" customHeight="1">
      <x:c r="A9" s="18" t="str">
        <x:v>Giả định</x:v>
      </x:c>
      <x:c r="B9" s="19" t="str">
        <x:v>Người dùng chưa chỉ định màn hình chính nên Profile page được chọn tạm thời theo thứ tự danh sách.</x:v>
      </x:c>
    </x:row>
    <x:row r="10" ht="15" hidden="0" customHeight="1">
      <x:c r="A10" s="18" t="str">
        <x:v>Ranh giới thực thi</x:v>
      </x:c>
      <x:c r="B10" s="19" t="str">
        <x:v>Đây là checklist thiết kế; chưa chạy trên SUT và không kết luận Passed/Failed.</x:v>
      </x:c>
    </x:row>
    <x:row r="11" ht="26.399999618530273" hidden="0" customHeight="1">
      <x:c r="A11" s="18" t="str">
        <x:v>Điểm mơ hồ</x:v>
      </x:c>
      <x:c r="B11" s="19" t="str">
        <x:v>Update profile form và Order history screen hiện cùng xuất hiện trong Profile.jsx nhưng được tách thành phạm vi kiểm tra theo yêu cầu người dùng.</x:v>
      </x:c>
    </x:row>
    <x:row r="12" ht="15" hidden="0" customHeight="1">
      <x:c r="A12" s="18" t="str">
        <x:v>Rủi ro độ bao phủ</x:v>
      </x:c>
      <x:c r="B12" s="19" t="str">
        <x:v>Một số trạng thái loading/retry/focus động chưa được đặc tả; các kỳ vọng tương ứng được ghi rõ là Heuristic.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31" hidden="0" customWidth="1"/>
    <x:col min="5" max="5" width="18" hidden="0" customWidth="1"/>
    <x:col min="6" max="6" width="42" hidden="0" customWidth="1"/>
  </x:cols>
  <x:sheetData>
    <x:row r="1">
      <x:c r="A1" s="38" t="str">
        <x:v>TÓM TẮT ĐỘ BAO PHỦ</x:v>
      </x:c>
      <x:c r="B1" s="38"/>
      <x:c r="C1" s="38"/>
      <x:c r="D1" s="38"/>
      <x:c r="E1" s="38"/>
      <x:c r="F1" s="38"/>
    </x:row>
    <x:row r="2">
      <x:c r="A2" s="38"/>
      <x:c r="B2" s="38"/>
      <x:c r="C2" s="38"/>
      <x:c r="D2" s="38"/>
      <x:c r="E2" s="38"/>
      <x:c r="F2" s="38"/>
    </x:row>
    <x:row r="3" ht="15" hidden="0" customHeight="1">
      <x:c r="A3" s="45"/>
      <x:c r="B3" s="45"/>
      <x:c r="C3" s="45"/>
      <x:c r="D3" s="45"/>
      <x:c r="E3" s="45"/>
      <x:c r="F3" s="45"/>
    </x:row>
    <x:row r="4" ht="15" hidden="0" customHeight="1">
      <x:c r="A4" s="17" t="str">
        <x:v>Chỉ số thực thi</x:v>
      </x:c>
      <x:c r="B4" s="17" t="str">
        <x:v>Giá trị</x:v>
      </x:c>
      <x:c r="C4" s="45"/>
      <x:c r="D4" s="17" t="str">
        <x:v>IA</x:v>
      </x:c>
      <x:c r="E4" s="17" t="str">
        <x:v>Số mục</x:v>
      </x:c>
      <x:c r="F4" s="45"/>
    </x:row>
    <x:row r="5" ht="15" hidden="0" customHeight="1">
      <x:c r="A5" s="46" t="str">
        <x:v>Tổng thiết kế</x:v>
      </x:c>
      <x:c r="B5" s="47" t="n">
        <x:f>COUNTA('Checklist GUI'!$A$2:$A$53)</x:f>
        <x:v>52</x:v>
      </x:c>
      <x:c r="C5" s="45"/>
      <x:c r="D5" s="46" t="str">
        <x:v>IA-01</x:v>
      </x:c>
      <x:c r="E5" s="47" t="n">
        <x:f>COUNTIF('Checklist GUI'!$B$2:$B$53,"IA-01")</x:f>
        <x:v>13</x:v>
      </x:c>
      <x:c r="F5" s="45"/>
    </x:row>
    <x:row r="6" ht="15" hidden="0" customHeight="1">
      <x:c r="A6" s="46" t="str">
        <x:v>Đã thực thi</x:v>
      </x:c>
      <x:c r="B6" s="47" t="n">
        <x:f>COUNTIF('Checklist GUI'!$G$2:$G$53,"Passed")+COUNTIF('Checklist GUI'!$G$2:$G$53,"Failed")</x:f>
        <x:v>0</x:v>
      </x:c>
      <x:c r="C6" s="45"/>
      <x:c r="D6" s="46" t="str">
        <x:v>IA-02</x:v>
      </x:c>
      <x:c r="E6" s="47" t="n">
        <x:f>COUNTIF('Checklist GUI'!$B$2:$B$53,"IA-02")</x:f>
        <x:v>13</x:v>
      </x:c>
      <x:c r="F6" s="45"/>
    </x:row>
    <x:row r="7" ht="15" hidden="0" customHeight="1">
      <x:c r="A7" s="46" t="str">
        <x:v>Passed</x:v>
      </x:c>
      <x:c r="B7" s="47" t="n">
        <x:f>COUNTIF('Checklist GUI'!$G$2:$G$53,"Passed")</x:f>
        <x:v>0</x:v>
      </x:c>
      <x:c r="C7" s="45"/>
      <x:c r="D7" s="46" t="str">
        <x:v>IA-03</x:v>
      </x:c>
      <x:c r="E7" s="47" t="n">
        <x:f>COUNTIF('Checklist GUI'!$B$2:$B$53,"IA-03")</x:f>
        <x:v>13</x:v>
      </x:c>
      <x:c r="F7" s="45"/>
    </x:row>
    <x:row r="8" ht="15" hidden="0" customHeight="1">
      <x:c r="A8" s="46" t="str">
        <x:v>Failed</x:v>
      </x:c>
      <x:c r="B8" s="47" t="n">
        <x:f>COUNTIF('Checklist GUI'!$G$2:$G$53,"Failed")</x:f>
        <x:v>0</x:v>
      </x:c>
      <x:c r="C8" s="45"/>
      <x:c r="D8" s="46" t="str">
        <x:v>IA-04</x:v>
      </x:c>
      <x:c r="E8" s="47" t="n">
        <x:f>COUNTIF('Checklist GUI'!$B$2:$B$53,"IA-04")</x:f>
        <x:v>13</x:v>
      </x:c>
      <x:c r="F8" s="45"/>
    </x:row>
    <x:row r="9" ht="15" hidden="0" customHeight="1">
      <x:c r="A9" s="46" t="str">
        <x:v>Chưa thực hiện</x:v>
      </x:c>
      <x:c r="B9" s="47" t="n">
        <x:f>COUNTIF('Checklist GUI'!$G$2:$G$53,"Chưa thực hiện")</x:f>
        <x:v>52</x:v>
      </x:c>
      <x:c r="C9" s="45"/>
      <x:c r="D9" s="45"/>
      <x:c r="E9" s="45"/>
      <x:c r="F9" s="45"/>
    </x:row>
    <x:row r="10" ht="15" hidden="0" customHeight="1">
      <x:c r="A10" s="45"/>
      <x:c r="B10" s="45"/>
      <x:c r="C10" s="45"/>
      <x:c r="D10" s="45"/>
      <x:c r="E10" s="45"/>
      <x:c r="F10" s="45"/>
    </x:row>
    <x:row r="11" ht="15" hidden="0" customHeight="1">
      <x:c r="A11" s="45"/>
      <x:c r="B11" s="45"/>
      <x:c r="C11" s="45"/>
      <x:c r="D11" s="45"/>
      <x:c r="E11" s="45"/>
      <x:c r="F11" s="45"/>
    </x:row>
    <x:row r="12" ht="15" hidden="0" customHeight="1">
      <x:c r="A12" s="17" t="str">
        <x:v>Màn hình</x:v>
      </x:c>
      <x:c r="B12" s="17" t="str">
        <x:v>Số mục</x:v>
      </x:c>
      <x:c r="C12" s="45"/>
      <x:c r="D12" s="17" t="str">
        <x:v>Cổng chất lượng</x:v>
      </x:c>
      <x:c r="E12" s="17" t="str">
        <x:v>Kết quả</x:v>
      </x:c>
      <x:c r="F12" s="17" t="str">
        <x:v>Tiêu chí</x:v>
      </x:c>
    </x:row>
    <x:row r="13" ht="15" hidden="0" customHeight="1">
      <x:c r="A13" s="46" t="str">
        <x:v>Profile page</x:v>
      </x:c>
      <x:c r="B13" s="48" t="n">
        <x:f>COUNTIF('Checklist GUI'!$C$2:$C$53,"Profile page")</x:f>
        <x:v>16</x:v>
      </x:c>
      <x:c r="C13" s="45"/>
      <x:c r="D13" s="46" t="str">
        <x:v>Tổng &gt; 40</x:v>
      </x:c>
      <x:c r="E13" s="49" t="str">
        <x:f>IF(B5&gt;40,"Đạt","Không đạt")</x:f>
        <x:v>Đạt</x:v>
      </x:c>
      <x:c r="F13" s="50" t="str">
        <x:v>Bài tập yêu cầu hơn 40 mục</x:v>
      </x:c>
    </x:row>
    <x:row r="14" ht="15" hidden="0" customHeight="1">
      <x:c r="A14" s="46" t="str">
        <x:v>Update profile form</x:v>
      </x:c>
      <x:c r="B14" s="48" t="n">
        <x:f>COUNTIF('Checklist GUI'!$C$2:$C$53,"Update profile form")</x:f>
        <x:v>14</x:v>
      </x:c>
      <x:c r="C14" s="45"/>
      <x:c r="D14" s="46" t="str">
        <x:v>Đủ 4 IA</x:v>
      </x:c>
      <x:c r="E14" s="49" t="str">
        <x:f>IF(COUNTIF(E5:E8,"&gt;0")=4,"Đạt","Không đạt")</x:f>
        <x:v>Đạt</x:v>
      </x:c>
      <x:c r="F14" s="50" t="str">
        <x:v>IA-01 đến IA-04 đều hiện diện</x:v>
      </x:c>
    </x:row>
    <x:row r="15" ht="15" hidden="0" customHeight="1">
      <x:c r="A15" s="46" t="str">
        <x:v>Order history screen</x:v>
      </x:c>
      <x:c r="B15" s="48" t="n">
        <x:f>COUNTIF('Checklist GUI'!$C$2:$C$53,"Order history screen")</x:f>
        <x:v>9</x:v>
      </x:c>
      <x:c r="C15" s="45"/>
      <x:c r="D15" s="46" t="str">
        <x:v>IA-01 ≥ 10</x:v>
      </x:c>
      <x:c r="E15" s="49" t="str">
        <x:f>IF(E5&gt;=10,"Đạt","Không đạt")</x:f>
        <x:v>Đạt</x:v>
      </x:c>
      <x:c r="F15" s="50" t="str">
        <x:v>Tối thiểu cứng: 10</x:v>
      </x:c>
    </x:row>
    <x:row r="16" ht="15" hidden="0" customHeight="1">
      <x:c r="A16" s="46" t="str">
        <x:v>Admin order management</x:v>
      </x:c>
      <x:c r="B16" s="48" t="n">
        <x:f>COUNTIF('Checklist GUI'!$C$2:$C$53,"Admin order management")</x:f>
        <x:v>9</x:v>
      </x:c>
      <x:c r="C16" s="45"/>
      <x:c r="D16" s="46" t="str">
        <x:v>IA-02 ≥ 8</x:v>
      </x:c>
      <x:c r="E16" s="49" t="str">
        <x:f>IF(E6&gt;=8,"Đạt","Không đạt")</x:f>
        <x:v>Đạt</x:v>
      </x:c>
      <x:c r="F16" s="50" t="str">
        <x:v>Tối thiểu cứng: 8</x:v>
      </x:c>
    </x:row>
    <x:row r="17" ht="15" hidden="0" customHeight="1">
      <x:c r="A17" s="46" t="str">
        <x:v>Nhiều màn hình</x:v>
      </x:c>
      <x:c r="B17" s="48" t="n">
        <x:f>COUNTIF('Checklist GUI'!$C$2:$C$53,"Nhiều màn hình")</x:f>
        <x:v>4</x:v>
      </x:c>
      <x:c r="C17" s="45"/>
      <x:c r="D17" s="46" t="str">
        <x:v>IA-03 ≥ 8</x:v>
      </x:c>
      <x:c r="E17" s="49" t="str">
        <x:f>IF(E7&gt;=8,"Đạt","Không đạt")</x:f>
        <x:v>Đạt</x:v>
      </x:c>
      <x:c r="F17" s="50" t="str">
        <x:v>Tối thiểu cứng: 8</x:v>
      </x:c>
    </x:row>
    <x:row r="18" ht="15" hidden="0" customHeight="1">
      <x:c r="A18" s="45"/>
      <x:c r="B18" s="45"/>
      <x:c r="C18" s="45"/>
      <x:c r="D18" s="46" t="str">
        <x:v>IA-04 ≥ 10</x:v>
      </x:c>
      <x:c r="E18" s="49" t="str">
        <x:f>IF(E8&gt;=10,"Đạt","Không đạt")</x:f>
        <x:v>Đạt</x:v>
      </x:c>
      <x:c r="F18" s="50" t="str">
        <x:v>Tối thiểu cứng: 10</x:v>
      </x:c>
    </x:row>
    <x:row r="19" ht="15" hidden="0" customHeight="1">
      <x:c r="A19" s="45"/>
      <x:c r="B19" s="45"/>
      <x:c r="C19" s="45"/>
      <x:c r="D19" s="46" t="str">
        <x:v>Màn hình chính sâu nhất</x:v>
      </x:c>
      <x:c r="E19" s="49" t="str">
        <x:f>IF(AND(B13&gt;B14,B13&gt;B15,B13&gt;B16),"Đạt","Không đạt")</x:f>
        <x:v>Đạt</x:v>
      </x:c>
      <x:c r="F19" s="50" t="str">
        <x:v>Profile page &gt; từng màn hình hỗ trợ</x:v>
      </x:c>
    </x:row>
    <x:row r="20" ht="15" hidden="0" customHeight="1">
      <x:c r="A20" s="45"/>
      <x:c r="B20" s="45"/>
      <x:c r="C20" s="45"/>
      <x:c r="D20" s="46" t="str">
        <x:v>Trạng thái thiết kế hợp lệ</x:v>
      </x:c>
      <x:c r="E20" s="49" t="str">
        <x:f>IF(COUNTIF('Checklist GUI'!$G$2:$G$53,"Chưa thực hiện")=B5,"Đạt","Không đạt")</x:f>
        <x:v>Đạt</x:v>
      </x:c>
      <x:c r="F20" s="50" t="str">
        <x:v>Thiết kế chưa được gán Passed/Failed</x:v>
      </x:c>
    </x:row>
  </x:sheetData>
  <x:mergeCells>
    <x:mergeCell ref="A1:F2"/>
  </x:mergeCells>
  <x:conditionalFormatting sqref="E13:E20">
    <x:cfRule type="containsText" dxfId="2" priority="1" operator="containsText" text="Đạt"/>
    <x:cfRule type="containsText" dxfId="3" priority="2" operator="containsText" text="Không đạt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0" hidden="0" customWidth="1"/>
    <x:col min="3" max="3" width="24" hidden="0" customWidth="1"/>
    <x:col min="4" max="4" width="25" hidden="0" customWidth="1"/>
    <x:col min="5" max="5" width="52" hidden="0" customWidth="1"/>
    <x:col min="6" max="6" width="70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9" t="str">
        <x:v>ID</x:v>
      </x:c>
      <x:c r="B1" s="9" t="str">
        <x:v>IA</x:v>
      </x:c>
      <x:c r="C1" s="9" t="str">
        <x:v>Màn hình</x:v>
      </x:c>
      <x:c r="D1" s="9" t="str">
        <x:v>Vai trò</x:v>
      </x:c>
      <x:c r="E1" s="9" t="str">
        <x:v>Hạng mục kiểm tra</x:v>
      </x:c>
      <x:c r="F1" s="9" t="str">
        <x:v>Kết quả mong đợi</x:v>
      </x:c>
      <x:c r="G1" s="9" t="str">
        <x:v>Trạng thái</x:v>
      </x:c>
      <x:c r="H1" s="9" t="str">
        <x:v>Ghi chú</x:v>
      </x:c>
      <x:c r="I1" s="9" t="str">
        <x:v>Bằng chứng</x:v>
      </x:c>
    </x:row>
    <x:row r="2" ht="48" hidden="0" customHeight="1">
      <x:c r="A2" s="56" t="str">
        <x:v>GUI-001</x:v>
      </x:c>
      <x:c r="B2" s="56" t="str">
        <x:v>IA-01</x:v>
      </x:c>
      <x:c r="C2" s="57" t="str">
        <x:v>Profile page</x:v>
      </x:c>
      <x:c r="D2" s="57" t="str">
        <x:v>Người dùng đã đăng nhập</x:v>
      </x:c>
      <x:c r="E2" s="57" t="str">
        <x:v>Kiểm tra trang có đúng một tiêu đề cấp trang mô tả nội dung hồ sơ.</x:v>
      </x:c>
      <x:c r="F2" s="57" t="str">
        <x:v>Trang có đúng một thẻ h1 mô tả nội dung Profile page; các tiêu đề “Hồ sơ của bạn” và “Lịch sử đơn hàng” dùng cấp heading phù hợp bên dưới. FR-21.</x:v>
      </x:c>
      <x:c r="G2" s="58" t="str">
        <x:v>Chưa thực hiện</x:v>
      </x:c>
      <x:c r="H2" s="56" t="str">
        <x:v>—</x:v>
      </x:c>
      <x:c r="I2" s="56" t="str">
        <x:v>—</x:v>
      </x:c>
    </x:row>
    <x:row r="3" ht="48" hidden="0" customHeight="1">
      <x:c r="A3" s="27" t="str">
        <x:v>GUI-002</x:v>
      </x:c>
      <x:c r="B3" s="27" t="str">
        <x:v>IA-01</x:v>
      </x:c>
      <x:c r="C3" s="25" t="str">
        <x:v>Profile page</x:v>
      </x:c>
      <x:c r="D3" s="25" t="str">
        <x:v>Người dùng đã đăng nhập</x:v>
      </x:c>
      <x:c r="E3" s="25" t="str">
        <x:v>Kiểm tra bố cục hai khu vực hồ sơ và lịch sử đơn hàng trên màn hình desktop.</x:v>
      </x:c>
      <x:c r="F3" s="25" t="str">
        <x:v>Heuristic: Hai khu vực được phân cấp rõ, căn chỉnh nhất quán, không chồng lấn và không tạo khoảng trắng bất thường.</x:v>
      </x:c>
      <x:c r="G3" s="29" t="str">
        <x:v>Chưa thực hiện</x:v>
      </x:c>
      <x:c r="H3" s="27" t="str">
        <x:v>—</x:v>
      </x:c>
      <x:c r="I3" s="27" t="str">
        <x:v>—</x:v>
      </x:c>
    </x:row>
    <x:row r="4" ht="48" hidden="0" customHeight="1">
      <x:c r="A4" s="27" t="str">
        <x:v>GUI-003</x:v>
      </x:c>
      <x:c r="B4" s="27" t="str">
        <x:v>IA-01</x:v>
      </x:c>
      <x:c r="C4" s="25" t="str">
        <x:v>Profile page</x:v>
      </x:c>
      <x:c r="D4" s="25" t="str">
        <x:v>Người dùng đã đăng nhập</x:v>
      </x:c>
      <x:c r="E4" s="25" t="str">
        <x:v>Thu hẹp viewport từ desktop xuống mobile và kiểm tra khả năng reflow.</x:v>
      </x:c>
      <x:c r="F4" s="25" t="str">
        <x:v>Heuristic: Nội dung chuyển thành một cột, không có thành phần bị che; người dùng đọc và thao tác được mà không phải cuộn ngang toàn trang.</x:v>
      </x:c>
      <x:c r="G4" s="29" t="str">
        <x:v>Chưa thực hiện</x:v>
      </x:c>
      <x:c r="H4" s="27" t="str">
        <x:v>—</x:v>
      </x:c>
      <x:c r="I4" s="27" t="str">
        <x:v>—</x:v>
      </x:c>
    </x:row>
    <x:row r="5" ht="48" hidden="0" customHeight="1">
      <x:c r="A5" s="27" t="str">
        <x:v>GUI-004</x:v>
      </x:c>
      <x:c r="B5" s="27" t="str">
        <x:v>IA-01</x:v>
      </x:c>
      <x:c r="C5" s="25" t="str">
        <x:v>Profile page</x:v>
      </x:c>
      <x:c r="D5" s="25" t="str">
        <x:v>Người dùng đã đăng nhập</x:v>
      </x:c>
      <x:c r="E5" s="25" t="str">
        <x:v>Phóng to trang đến 200% và kiểm tra nội dung chính.</x:v>
      </x:c>
      <x:c r="F5" s="25" t="str">
        <x:v>Heuristic: Nhãn, giá trị và nút vẫn hiển thị đầy đủ; văn bản reflow và không bị cắt hoặc đè lên nhau.</x:v>
      </x:c>
      <x:c r="G5" s="29" t="str">
        <x:v>Chưa thực hiện</x:v>
      </x:c>
      <x:c r="H5" s="27" t="str">
        <x:v>—</x:v>
      </x:c>
      <x:c r="I5" s="27" t="str">
        <x:v>—</x:v>
      </x:c>
    </x:row>
    <x:row r="6" ht="48" hidden="0" customHeight="1">
      <x:c r="A6" s="27" t="str">
        <x:v>GUI-005</x:v>
      </x:c>
      <x:c r="B6" s="27" t="str">
        <x:v>IA-01</x:v>
      </x:c>
      <x:c r="C6" s="25" t="str">
        <x:v>Profile page</x:v>
      </x:c>
      <x:c r="D6" s="25" t="str">
        <x:v>Người dùng đã đăng nhập</x:v>
      </x:c>
      <x:c r="E6" s="25" t="str">
        <x:v>Hiển thị tên người dùng chứa thẻ HTML hoặc script trong lời chào ở navbar.</x:v>
      </x:c>
      <x:c r="F6" s="25" t="str">
        <x:v>Tên người dùng được hiển thị như văn bản thuần, không render HTML và không thực thi script. SEC-04.</x:v>
      </x:c>
      <x:c r="G6" s="29" t="str">
        <x:v>Chưa thực hiện</x:v>
      </x:c>
      <x:c r="H6" s="27" t="str">
        <x:v>—</x:v>
      </x:c>
      <x:c r="I6" s="27" t="str">
        <x:v>—</x:v>
      </x:c>
    </x:row>
    <x:row r="7" ht="48" hidden="0" customHeight="1">
      <x:c r="A7" s="27" t="str">
        <x:v>GUI-006</x:v>
      </x:c>
      <x:c r="B7" s="27" t="str">
        <x:v>IA-02</x:v>
      </x:c>
      <x:c r="C7" s="25" t="str">
        <x:v>Profile page</x:v>
      </x:c>
      <x:c r="D7" s="25" t="str">
        <x:v>Người dùng đã đăng nhập</x:v>
      </x:c>
      <x:c r="E7" s="25" t="str">
        <x:v>Mở Profile page và kiểm tra dữ liệu hiện tại được nạp vào khu vực hồ sơ.</x:v>
      </x:c>
      <x:c r="F7" s="25" t="str">
        <x:v>Họ Tên, Số điện thoại và Địa chỉ giao hàng mặc định của chính người dùng được điền vào đúng trường. FR-04.</x:v>
      </x:c>
      <x:c r="G7" s="29" t="str">
        <x:v>Chưa thực hiện</x:v>
      </x:c>
      <x:c r="H7" s="27" t="str">
        <x:v>—</x:v>
      </x:c>
      <x:c r="I7" s="27" t="str">
        <x:v>—</x:v>
      </x:c>
    </x:row>
    <x:row r="8" ht="48" hidden="0" customHeight="1">
      <x:c r="A8" s="27" t="str">
        <x:v>GUI-007</x:v>
      </x:c>
      <x:c r="B8" s="27" t="str">
        <x:v>IA-02</x:v>
      </x:c>
      <x:c r="C8" s="25" t="str">
        <x:v>Profile page</x:v>
      </x:c>
      <x:c r="D8" s="25" t="str">
        <x:v>Người dùng đã đăng nhập</x:v>
      </x:c>
      <x:c r="E8" s="25" t="str">
        <x:v>Kiểm tra khả năng chỉnh sửa Email trong khu vực hồ sơ.</x:v>
      </x:c>
      <x:c r="F8" s="25" t="str">
        <x:v>Email hiển thị để tham chiếu nhưng không thể chỉnh sửa qua giao diện. FR-04.</x:v>
      </x:c>
      <x:c r="G8" s="29" t="str">
        <x:v>Chưa thực hiện</x:v>
      </x:c>
      <x:c r="H8" s="27" t="str">
        <x:v>—</x:v>
      </x:c>
      <x:c r="I8" s="27" t="str">
        <x:v>—</x:v>
      </x:c>
    </x:row>
    <x:row r="9" ht="48" hidden="0" customHeight="1">
      <x:c r="A9" s="27" t="str">
        <x:v>GUI-008</x:v>
      </x:c>
      <x:c r="B9" s="27" t="str">
        <x:v>IA-02</x:v>
      </x:c>
      <x:c r="C9" s="25" t="str">
        <x:v>Profile page</x:v>
      </x:c>
      <x:c r="D9" s="25" t="str">
        <x:v>Người dùng đã đăng nhập</x:v>
      </x:c>
      <x:c r="E9" s="25" t="str">
        <x:v>Kiểm tra các trường hoặc điều khiển có thể thay đổi thuộc tính role.</x:v>
      </x:c>
      <x:c r="F9" s="25" t="str">
        <x:v>Không có trường hoặc điều khiển cho phép người dùng tự thay đổi role. FR-04, SEC-06.</x:v>
      </x:c>
      <x:c r="G9" s="29" t="str">
        <x:v>Chưa thực hiện</x:v>
      </x:c>
      <x:c r="H9" s="27" t="str">
        <x:v>—</x:v>
      </x:c>
      <x:c r="I9" s="27" t="str">
        <x:v>—</x:v>
      </x:c>
    </x:row>
    <x:row r="10" ht="48" hidden="0" customHeight="1">
      <x:c r="A10" s="27" t="str">
        <x:v>GUI-009</x:v>
      </x:c>
      <x:c r="B10" s="27" t="str">
        <x:v>IA-02</x:v>
      </x:c>
      <x:c r="C10" s="25" t="str">
        <x:v>Profile page</x:v>
      </x:c>
      <x:c r="D10" s="25" t="str">
        <x:v>Người dùng đã đăng nhập</x:v>
      </x:c>
      <x:c r="E10" s="25" t="str">
        <x:v>Kiểm tra quan hệ giữa từng nhãn và control tương ứng bằng click nhãn hoặc công cụ accessibility.</x:v>
      </x:c>
      <x:c r="F10" s="25" t="str">
        <x:v>Heuristic: Mỗi nhãn được liên kết chương trình với đúng input/textarea; tên truy cập của control phản ánh nhãn hiển thị.</x:v>
      </x:c>
      <x:c r="G10" s="29" t="str">
        <x:v>Chưa thực hiện</x:v>
      </x:c>
      <x:c r="H10" s="27" t="str">
        <x:v>—</x:v>
      </x:c>
      <x:c r="I10" s="27" t="str">
        <x:v>—</x:v>
      </x:c>
    </x:row>
    <x:row r="11" ht="48" hidden="0" customHeight="1">
      <x:c r="A11" s="27" t="str">
        <x:v>GUI-010</x:v>
      </x:c>
      <x:c r="B11" s="27" t="str">
        <x:v>IA-03</x:v>
      </x:c>
      <x:c r="C11" s="25" t="str">
        <x:v>Profile page</x:v>
      </x:c>
      <x:c r="D11" s="25" t="str">
        <x:v>Người dùng đã đăng nhập</x:v>
      </x:c>
      <x:c r="E11" s="25" t="str">
        <x:v>Đi từ navbar vào route /profile.</x:v>
      </x:c>
      <x:c r="F11" s="25" t="str">
        <x:v>Profile page mở đúng nội dung và mục/profile link đang chọn có trạng thái active dễ nhận biết. FR-23.</x:v>
      </x:c>
      <x:c r="G11" s="29" t="str">
        <x:v>Chưa thực hiện</x:v>
      </x:c>
      <x:c r="H11" s="27" t="str">
        <x:v>—</x:v>
      </x:c>
      <x:c r="I11" s="27" t="str">
        <x:v>—</x:v>
      </x:c>
    </x:row>
    <x:row r="12" ht="48" hidden="0" customHeight="1">
      <x:c r="A12" s="27" t="str">
        <x:v>GUI-011</x:v>
      </x:c>
      <x:c r="B12" s="27" t="str">
        <x:v>IA-03</x:v>
      </x:c>
      <x:c r="C12" s="25" t="str">
        <x:v>Profile page</x:v>
      </x:c>
      <x:c r="D12" s="25" t="str">
        <x:v>Khách chưa đăng nhập</x:v>
      </x:c>
      <x:c r="E12" s="25" t="str">
        <x:v>Truy cập trực tiếp route /profile.</x:v>
      </x:c>
      <x:c r="F12" s="25" t="str">
        <x:v>Người dùng không được xem dữ liệu hồ sơ; hệ thống đưa ra luồng xác thực rõ ràng mà không làm lộ dữ liệu cá nhân. FR-04, SEC-02.</x:v>
      </x:c>
      <x:c r="G12" s="29" t="str">
        <x:v>Chưa thực hiện</x:v>
      </x:c>
      <x:c r="H12" s="27" t="str">
        <x:v>—</x:v>
      </x:c>
      <x:c r="I12" s="27" t="str">
        <x:v>—</x:v>
      </x:c>
    </x:row>
    <x:row r="13" ht="48" hidden="0" customHeight="1">
      <x:c r="A13" s="27" t="str">
        <x:v>GUI-012</x:v>
      </x:c>
      <x:c r="B13" s="27" t="str">
        <x:v>IA-03</x:v>
      </x:c>
      <x:c r="C13" s="25" t="str">
        <x:v>Profile page</x:v>
      </x:c>
      <x:c r="D13" s="25" t="str">
        <x:v>Người dùng đã đăng nhập</x:v>
      </x:c>
      <x:c r="E13" s="25" t="str">
        <x:v>Refresh trình duyệt khi đang ở /profile.</x:v>
      </x:c>
      <x:c r="F13" s="25" t="str">
        <x:v>Heuristic: Route vẫn hợp lệ; sau khi khôi phục phiên, nội dung hồ sơ của đúng người dùng được hiển thị hoặc có phản hồi hết phiên rõ ràng.</x:v>
      </x:c>
      <x:c r="G13" s="29" t="str">
        <x:v>Chưa thực hiện</x:v>
      </x:c>
      <x:c r="H13" s="27" t="str">
        <x:v>—</x:v>
      </x:c>
      <x:c r="I13" s="27" t="str">
        <x:v>—</x:v>
      </x:c>
    </x:row>
    <x:row r="14" ht="48" hidden="0" customHeight="1">
      <x:c r="A14" s="27" t="str">
        <x:v>GUI-013</x:v>
      </x:c>
      <x:c r="B14" s="27" t="str">
        <x:v>IA-03</x:v>
      </x:c>
      <x:c r="C14" s="25" t="str">
        <x:v>Profile page</x:v>
      </x:c>
      <x:c r="D14" s="25" t="str">
        <x:v>Người dùng đã đăng nhập</x:v>
      </x:c>
      <x:c r="E14" s="25" t="str">
        <x:v>Dùng Tab qua navbar rồi tới nội dung Profile page.</x:v>
      </x:c>
      <x:c r="F14" s="25" t="str">
        <x:v>Focus đi theo thứ tự từ trên xuống dưới, trái sang phải và luôn có chỉ báo focus nhìn thấy. FR-21.</x:v>
      </x:c>
      <x:c r="G14" s="29" t="str">
        <x:v>Chưa thực hiện</x:v>
      </x:c>
      <x:c r="H14" s="27" t="str">
        <x:v>—</x:v>
      </x:c>
      <x:c r="I14" s="27" t="str">
        <x:v>—</x:v>
      </x:c>
    </x:row>
    <x:row r="15" ht="48" hidden="0" customHeight="1">
      <x:c r="A15" s="27" t="str">
        <x:v>GUI-014</x:v>
      </x:c>
      <x:c r="B15" s="27" t="str">
        <x:v>IA-04</x:v>
      </x:c>
      <x:c r="C15" s="25" t="str">
        <x:v>Profile page</x:v>
      </x:c>
      <x:c r="D15" s="25" t="str">
        <x:v>Người dùng đã đăng nhập</x:v>
      </x:c>
      <x:c r="E15" s="25" t="str">
        <x:v>Mở Profile page khi dữ liệu hồ sơ và đơn hàng đang được tải.</x:v>
      </x:c>
      <x:c r="F15" s="25" t="str">
        <x:v>Heuristic: Có trạng thái loading nhận biết được; dữ liệu cũ hoặc vùng trống không bị hiểu nhầm là kết quả cuối cùng.</x:v>
      </x:c>
      <x:c r="G15" s="29" t="str">
        <x:v>Chưa thực hiện</x:v>
      </x:c>
      <x:c r="H15" s="27" t="str">
        <x:v>—</x:v>
      </x:c>
      <x:c r="I15" s="27" t="str">
        <x:v>—</x:v>
      </x:c>
    </x:row>
    <x:row r="16" ht="48" hidden="0" customHeight="1">
      <x:c r="A16" s="27" t="str">
        <x:v>GUI-015</x:v>
      </x:c>
      <x:c r="B16" s="27" t="str">
        <x:v>IA-04</x:v>
      </x:c>
      <x:c r="C16" s="25" t="str">
        <x:v>Profile page</x:v>
      </x:c>
      <x:c r="D16" s="25" t="str">
        <x:v>Người dùng có phiên đã hết hạn</x:v>
      </x:c>
      <x:c r="E16" s="25" t="str">
        <x:v>Mở hoặc refresh Profile page.</x:v>
      </x:c>
      <x:c r="F16" s="25" t="str">
        <x:v>Hệ thống thông báo phiên không còn hợp lệ và không hiển thị dữ liệu cá nhân; có đường quay lại luồng đăng nhập. SEC-02.</x:v>
      </x:c>
      <x:c r="G16" s="29" t="str">
        <x:v>Chưa thực hiện</x:v>
      </x:c>
      <x:c r="H16" s="27" t="str">
        <x:v>—</x:v>
      </x:c>
      <x:c r="I16" s="27" t="str">
        <x:v>—</x:v>
      </x:c>
    </x:row>
    <x:row r="17" ht="48" hidden="0" customHeight="1">
      <x:c r="A17" s="27" t="str">
        <x:v>GUI-016</x:v>
      </x:c>
      <x:c r="B17" s="27" t="str">
        <x:v>IA-04</x:v>
      </x:c>
      <x:c r="C17" s="25" t="str">
        <x:v>Profile page</x:v>
      </x:c>
      <x:c r="D17" s="25" t="str">
        <x:v>Người dùng đã đăng nhập</x:v>
      </x:c>
      <x:c r="E17" s="25" t="str">
        <x:v>Mô phỏng lỗi server khi tải nội dung Profile page.</x:v>
      </x:c>
      <x:c r="F17" s="25" t="str">
        <x:v>Heuristic: Có thông báo lỗi thân thiện và phân biệt với trạng thái không có đơn hàng; không chỉ ghi lỗi trong console.</x:v>
      </x:c>
      <x:c r="G17" s="29" t="str">
        <x:v>Chưa thực hiện</x:v>
      </x:c>
      <x:c r="H17" s="27" t="str">
        <x:v>—</x:v>
      </x:c>
      <x:c r="I17" s="27" t="str">
        <x:v>—</x:v>
      </x:c>
    </x:row>
    <x:row r="18" ht="48" hidden="0" customHeight="1">
      <x:c r="A18" s="56" t="str">
        <x:v>GUI-017</x:v>
      </x:c>
      <x:c r="B18" s="56" t="str">
        <x:v>IA-01</x:v>
      </x:c>
      <x:c r="C18" s="57" t="str">
        <x:v>Update profile form</x:v>
      </x:c>
      <x:c r="D18" s="57" t="str">
        <x:v>Người dùng đã đăng nhập</x:v>
      </x:c>
      <x:c r="E18" s="57" t="str">
        <x:v>Kiểm tra nhãn và kiểu hiển thị của các trường trong form.</x:v>
      </x:c>
      <x:c r="F18" s="57" t="str">
        <x:v>Các nhãn “Email (Không đổi)”, “Họ Tên”, “Số điện thoại”, “Địa chỉ giao hàng” dễ đọc, căn với đúng trường và nhất quán tiếng Việt. FR-21.</x:v>
      </x:c>
      <x:c r="G18" s="58" t="str">
        <x:v>Chưa thực hiện</x:v>
      </x:c>
      <x:c r="H18" s="56" t="str">
        <x:v>—</x:v>
      </x:c>
      <x:c r="I18" s="56" t="str">
        <x:v>—</x:v>
      </x:c>
    </x:row>
    <x:row r="19" ht="48" hidden="0" customHeight="1">
      <x:c r="A19" s="27" t="str">
        <x:v>GUI-018</x:v>
      </x:c>
      <x:c r="B19" s="27" t="str">
        <x:v>IA-01</x:v>
      </x:c>
      <x:c r="C19" s="25" t="str">
        <x:v>Update profile form</x:v>
      </x:c>
      <x:c r="D19" s="25" t="str">
        <x:v>Người dùng đã đăng nhập</x:v>
      </x:c>
      <x:c r="E19" s="25" t="str">
        <x:v>Nhập họ tên và địa chỉ dài có dấu tiếng Việt rồi kiểm tra hiển thị.</x:v>
      </x:c>
      <x:c r="F19" s="25" t="str">
        <x:v>Heuristic: Dấu tiếng Việt hiển thị đúng; nội dung dài không tràn khỏi input/textarea và có thể xem lại khi chỉnh sửa.</x:v>
      </x:c>
      <x:c r="G19" s="29" t="str">
        <x:v>Chưa thực hiện</x:v>
      </x:c>
      <x:c r="H19" s="27" t="str">
        <x:v>—</x:v>
      </x:c>
      <x:c r="I19" s="27" t="str">
        <x:v>—</x:v>
      </x:c>
    </x:row>
    <x:row r="20" ht="48" hidden="0" customHeight="1">
      <x:c r="A20" s="27" t="str">
        <x:v>GUI-019</x:v>
      </x:c>
      <x:c r="B20" s="27" t="str">
        <x:v>IA-02</x:v>
      </x:c>
      <x:c r="C20" s="25" t="str">
        <x:v>Update profile form</x:v>
      </x:c>
      <x:c r="D20" s="25" t="str">
        <x:v>Người dùng đã đăng nhập</x:v>
      </x:c>
      <x:c r="E20" s="25" t="str">
        <x:v>Kiểm tra ký hiệu bắt buộc cạnh các trường bắt buộc trước khi nhập dữ liệu.</x:v>
      </x:c>
      <x:c r="F20" s="25" t="str">
        <x:v>Mọi trường bắt buộc theo form đều có ký hiệu * ngay cạnh nhãn; không đánh dấu trường tùy chọn là bắt buộc. FR-22.</x:v>
      </x:c>
      <x:c r="G20" s="29" t="str">
        <x:v>Chưa thực hiện</x:v>
      </x:c>
      <x:c r="H20" s="27" t="str">
        <x:v>—</x:v>
      </x:c>
      <x:c r="I20" s="27" t="str">
        <x:v>—</x:v>
      </x:c>
    </x:row>
    <x:row r="21" ht="48" hidden="0" customHeight="1">
      <x:c r="A21" s="27" t="str">
        <x:v>GUI-020</x:v>
      </x:c>
      <x:c r="B21" s="27" t="str">
        <x:v>IA-02</x:v>
      </x:c>
      <x:c r="C21" s="25" t="str">
        <x:v>Update profile form</x:v>
      </x:c>
      <x:c r="D21" s="25" t="str">
        <x:v>Người dùng đã đăng nhập</x:v>
      </x:c>
      <x:c r="E21" s="25" t="str">
        <x:v>Để trống Họ Tên rồi gửi form.</x:v>
      </x:c>
      <x:c r="F21" s="25" t="str">
        <x:v>Form không được gửi; thông báo bắt buộc rõ ràng xuất hiện phía trên nút “Cập nhật” và gắn với trường Họ Tên. FR-04, FR-22.</x:v>
      </x:c>
      <x:c r="G21" s="29" t="str">
        <x:v>Chưa thực hiện</x:v>
      </x:c>
      <x:c r="H21" s="27" t="str">
        <x:v>—</x:v>
      </x:c>
      <x:c r="I21" s="27" t="str">
        <x:v>—</x:v>
      </x:c>
    </x:row>
    <x:row r="22" ht="48" hidden="0" customHeight="1">
      <x:c r="A22" s="27" t="str">
        <x:v>GUI-021</x:v>
      </x:c>
      <x:c r="B22" s="27" t="str">
        <x:v>IA-02</x:v>
      </x:c>
      <x:c r="C22" s="25" t="str">
        <x:v>Update profile form</x:v>
      </x:c>
      <x:c r="D22" s="25" t="str">
        <x:v>Người dùng đã đăng nhập</x:v>
      </x:c>
      <x:c r="E22" s="25" t="str">
        <x:v>Nhập số điện thoại hợp lệ bắt đầu bằng 0 và có 10 chữ số rồi gửi form.</x:v>
      </x:c>
      <x:c r="F22" s="25" t="str">
        <x:v>Giá trị được chấp nhận và yêu cầu cập nhật được phép gửi. FR-04.</x:v>
      </x:c>
      <x:c r="G22" s="29" t="str">
        <x:v>Chưa thực hiện</x:v>
      </x:c>
      <x:c r="H22" s="27" t="str">
        <x:v>—</x:v>
      </x:c>
      <x:c r="I22" s="27" t="str">
        <x:v>—</x:v>
      </x:c>
    </x:row>
    <x:row r="23" ht="48" hidden="0" customHeight="1">
      <x:c r="A23" s="27" t="str">
        <x:v>GUI-022</x:v>
      </x:c>
      <x:c r="B23" s="27" t="str">
        <x:v>IA-02</x:v>
      </x:c>
      <x:c r="C23" s="25" t="str">
        <x:v>Update profile form</x:v>
      </x:c>
      <x:c r="D23" s="25" t="str">
        <x:v>Người dùng đã đăng nhập</x:v>
      </x:c>
      <x:c r="E23" s="25" t="str">
        <x:v>Nhập số điện thoại hợp lệ bắt đầu bằng 0 và có 11 chữ số rồi gửi form.</x:v>
      </x:c>
      <x:c r="F23" s="25" t="str">
        <x:v>Giá trị được chấp nhận và yêu cầu cập nhật được phép gửi. FR-04.</x:v>
      </x:c>
      <x:c r="G23" s="29" t="str">
        <x:v>Chưa thực hiện</x:v>
      </x:c>
      <x:c r="H23" s="27" t="str">
        <x:v>—</x:v>
      </x:c>
      <x:c r="I23" s="27" t="str">
        <x:v>—</x:v>
      </x:c>
    </x:row>
    <x:row r="24" ht="48" hidden="0" customHeight="1">
      <x:c r="A24" s="27" t="str">
        <x:v>GUI-023</x:v>
      </x:c>
      <x:c r="B24" s="27" t="str">
        <x:v>IA-02</x:v>
      </x:c>
      <x:c r="C24" s="25" t="str">
        <x:v>Update profile form</x:v>
      </x:c>
      <x:c r="D24" s="25" t="str">
        <x:v>Người dùng đã đăng nhập</x:v>
      </x:c>
      <x:c r="E24" s="25" t="str">
        <x:v>Nhập số điện thoại không bắt đầu bằng 0 rồi gửi form.</x:v>
      </x:c>
      <x:c r="F24" s="25" t="str">
        <x:v>Form không gửi dữ liệu; thông báo nêu rõ số điện thoại phải bắt đầu bằng 0. FR-04.</x:v>
      </x:c>
      <x:c r="G24" s="29" t="str">
        <x:v>Chưa thực hiện</x:v>
      </x:c>
      <x:c r="H24" s="27" t="str">
        <x:v>—</x:v>
      </x:c>
      <x:c r="I24" s="27" t="str">
        <x:v>—</x:v>
      </x:c>
    </x:row>
    <x:row r="25" ht="48" hidden="0" customHeight="1">
      <x:c r="A25" s="27" t="str">
        <x:v>GUI-024</x:v>
      </x:c>
      <x:c r="B25" s="27" t="str">
        <x:v>IA-02</x:v>
      </x:c>
      <x:c r="C25" s="25" t="str">
        <x:v>Update profile form</x:v>
      </x:c>
      <x:c r="D25" s="25" t="str">
        <x:v>Người dùng đã đăng nhập</x:v>
      </x:c>
      <x:c r="E25" s="25" t="str">
        <x:v>Nhập số điện thoại có 9 chữ số hoặc 12 chữ số rồi gửi form.</x:v>
      </x:c>
      <x:c r="F25" s="25" t="str">
        <x:v>Form không gửi dữ liệu; thông báo nêu rõ độ dài hợp lệ là 10–11 chữ số. FR-04.</x:v>
      </x:c>
      <x:c r="G25" s="29" t="str">
        <x:v>Chưa thực hiện</x:v>
      </x:c>
      <x:c r="H25" s="27" t="str">
        <x:v>—</x:v>
      </x:c>
      <x:c r="I25" s="27" t="str">
        <x:v>—</x:v>
      </x:c>
    </x:row>
    <x:row r="26" ht="48" hidden="0" customHeight="1">
      <x:c r="A26" s="27" t="str">
        <x:v>GUI-025</x:v>
      </x:c>
      <x:c r="B26" s="27" t="str">
        <x:v>IA-02</x:v>
      </x:c>
      <x:c r="C26" s="25" t="str">
        <x:v>Update profile form</x:v>
      </x:c>
      <x:c r="D26" s="25" t="str">
        <x:v>Người dùng đã đăng nhập</x:v>
      </x:c>
      <x:c r="E26" s="25" t="str">
        <x:v>Nhập chữ cái, dấu cách hoặc ký tự đặc biệt vào Số điện thoại rồi gửi form.</x:v>
      </x:c>
      <x:c r="F26" s="25" t="str">
        <x:v>Form không gửi dữ liệu; thông báo cho biết trường chỉ chấp nhận chữ số theo định dạng của FR-04.</x:v>
      </x:c>
      <x:c r="G26" s="29" t="str">
        <x:v>Chưa thực hiện</x:v>
      </x:c>
      <x:c r="H26" s="27" t="str">
        <x:v>—</x:v>
      </x:c>
      <x:c r="I26" s="27" t="str">
        <x:v>—</x:v>
      </x:c>
    </x:row>
    <x:row r="27" ht="48" hidden="0" customHeight="1">
      <x:c r="A27" s="27" t="str">
        <x:v>GUI-026</x:v>
      </x:c>
      <x:c r="B27" s="27" t="str">
        <x:v>IA-02</x:v>
      </x:c>
      <x:c r="C27" s="25" t="str">
        <x:v>Update profile form</x:v>
      </x:c>
      <x:c r="D27" s="25" t="str">
        <x:v>Người dùng đã đăng nhập</x:v>
      </x:c>
      <x:c r="E27" s="25" t="str">
        <x:v>Gây lỗi validation ở Số điện thoại sau khi đã nhập Họ Tên và Địa chỉ hợp lệ.</x:v>
      </x:c>
      <x:c r="F27" s="25" t="str">
        <x:v>Heuristic: Các giá trị hợp lệ ở Họ Tên và Địa chỉ vẫn được giữ nguyên để người dùng chỉ sửa trường lỗi.</x:v>
      </x:c>
      <x:c r="G27" s="29" t="str">
        <x:v>Chưa thực hiện</x:v>
      </x:c>
      <x:c r="H27" s="27" t="str">
        <x:v>—</x:v>
      </x:c>
      <x:c r="I27" s="27" t="str">
        <x:v>—</x:v>
      </x:c>
    </x:row>
    <x:row r="28" ht="48" hidden="0" customHeight="1">
      <x:c r="A28" s="27" t="str">
        <x:v>GUI-027</x:v>
      </x:c>
      <x:c r="B28" s="27" t="str">
        <x:v>IA-02</x:v>
      </x:c>
      <x:c r="C28" s="25" t="str">
        <x:v>Update profile form</x:v>
      </x:c>
      <x:c r="D28" s="25" t="str">
        <x:v>Người dùng đã đăng nhập</x:v>
      </x:c>
      <x:c r="E28" s="25" t="str">
        <x:v>Dùng bàn phím nhập dữ liệu và nhấn Enter tại control phù hợp để gửi form.</x:v>
      </x:c>
      <x:c r="F28" s="25" t="str">
        <x:v>Heuristic: Form có thể hoàn tất bằng bàn phím; Enter không tạo submit ngoài ý muốn khi đang nhập nhiều dòng trong Địa chỉ.</x:v>
      </x:c>
      <x:c r="G28" s="29" t="str">
        <x:v>Chưa thực hiện</x:v>
      </x:c>
      <x:c r="H28" s="27" t="str">
        <x:v>—</x:v>
      </x:c>
      <x:c r="I28" s="27" t="str">
        <x:v>—</x:v>
      </x:c>
    </x:row>
    <x:row r="29" ht="48" hidden="0" customHeight="1">
      <x:c r="A29" s="27" t="str">
        <x:v>GUI-028</x:v>
      </x:c>
      <x:c r="B29" s="27" t="str">
        <x:v>IA-03</x:v>
      </x:c>
      <x:c r="C29" s="25" t="str">
        <x:v>Update profile form</x:v>
      </x:c>
      <x:c r="D29" s="25" t="str">
        <x:v>Người dùng đã đăng nhập</x:v>
      </x:c>
      <x:c r="E29" s="25" t="str">
        <x:v>Dùng Tab lần lượt qua Email, Họ Tên, Số điện thoại, Địa chỉ và nút Cập nhật.</x:v>
      </x:c>
      <x:c r="F29" s="25" t="str">
        <x:v>Focus đi theo thứ tự hiển thị hợp lý; trường Email không chỉnh sửa không gây bẫy bàn phím và nút Cập nhật có thể kích hoạt bằng bàn phím. FR-21.</x:v>
      </x:c>
      <x:c r="G29" s="29" t="str">
        <x:v>Chưa thực hiện</x:v>
      </x:c>
      <x:c r="H29" s="27" t="str">
        <x:v>—</x:v>
      </x:c>
      <x:c r="I29" s="27" t="str">
        <x:v>—</x:v>
      </x:c>
    </x:row>
    <x:row r="30" ht="48" hidden="0" customHeight="1">
      <x:c r="A30" s="27" t="str">
        <x:v>GUI-029</x:v>
      </x:c>
      <x:c r="B30" s="27" t="str">
        <x:v>IA-04</x:v>
      </x:c>
      <x:c r="C30" s="25" t="str">
        <x:v>Update profile form</x:v>
      </x:c>
      <x:c r="D30" s="25" t="str">
        <x:v>Người dùng đã đăng nhập</x:v>
      </x:c>
      <x:c r="E30" s="25" t="str">
        <x:v>Gửi dữ liệu hồ sơ hợp lệ và nhận phản hồi thành công.</x:v>
      </x:c>
      <x:c r="F30" s="25" t="str">
        <x:v>Có phản hồi thành công rõ ràng; dữ liệu vừa cập nhật hiển thị nhất quán trên Profile page. FR-04; hình thức phản hồi cụ thể là Heuristic.</x:v>
      </x:c>
      <x:c r="G30" s="29" t="str">
        <x:v>Chưa thực hiện</x:v>
      </x:c>
      <x:c r="H30" s="27" t="str">
        <x:v>—</x:v>
      </x:c>
      <x:c r="I30" s="27" t="str">
        <x:v>—</x:v>
      </x:c>
    </x:row>
    <x:row r="31" ht="48" hidden="0" customHeight="1">
      <x:c r="A31" s="27" t="str">
        <x:v>GUI-030</x:v>
      </x:c>
      <x:c r="B31" s="27" t="str">
        <x:v>IA-04</x:v>
      </x:c>
      <x:c r="C31" s="25" t="str">
        <x:v>Update profile form</x:v>
      </x:c>
      <x:c r="D31" s="25" t="str">
        <x:v>Người dùng đã đăng nhập</x:v>
      </x:c>
      <x:c r="E31" s="25" t="str">
        <x:v>Gửi dữ liệu hợp lệ nhưng server trả lỗi.</x:v>
      </x:c>
      <x:c r="F31" s="25" t="str">
        <x:v>Thông báo lỗi dễ hiểu xuất hiện phía trên nút “Cập nhật”; dữ liệu người dùng vừa nhập không bị xóa. FR-22; việc giữ dữ liệu là Heuristic.</x:v>
      </x:c>
      <x:c r="G31" s="29" t="str">
        <x:v>Chưa thực hiện</x:v>
      </x:c>
      <x:c r="H31" s="27" t="str">
        <x:v>—</x:v>
      </x:c>
      <x:c r="I31" s="27" t="str">
        <x:v>—</x:v>
      </x:c>
    </x:row>
    <x:row r="32" ht="48" hidden="0" customHeight="1">
      <x:c r="A32" s="56" t="str">
        <x:v>GUI-031</x:v>
      </x:c>
      <x:c r="B32" s="56" t="str">
        <x:v>IA-01</x:v>
      </x:c>
      <x:c r="C32" s="57" t="str">
        <x:v>Order history screen</x:v>
      </x:c>
      <x:c r="D32" s="57" t="str">
        <x:v>Người dùng đã đăng nhập</x:v>
      </x:c>
      <x:c r="E32" s="57" t="str">
        <x:v>Kiểm tra các cột thông tin của danh sách đơn hàng.</x:v>
      </x:c>
      <x:c r="F32" s="57" t="str">
        <x:v>Mỗi đơn hiển thị Mã đơn, Ngày đặt, Tổng tiền và Trạng thái hiện tại; nhãn cột rõ ràng. FR-11.</x:v>
      </x:c>
      <x:c r="G32" s="58" t="str">
        <x:v>Chưa thực hiện</x:v>
      </x:c>
      <x:c r="H32" s="56" t="str">
        <x:v>—</x:v>
      </x:c>
      <x:c r="I32" s="56" t="str">
        <x:v>—</x:v>
      </x:c>
    </x:row>
    <x:row r="33" ht="48" hidden="0" customHeight="1">
      <x:c r="A33" s="27" t="str">
        <x:v>GUI-032</x:v>
      </x:c>
      <x:c r="B33" s="27" t="str">
        <x:v>IA-01</x:v>
      </x:c>
      <x:c r="C33" s="25" t="str">
        <x:v>Order history screen</x:v>
      </x:c>
      <x:c r="D33" s="25" t="str">
        <x:v>Người dùng đã đăng nhập</x:v>
      </x:c>
      <x:c r="E33" s="25" t="str">
        <x:v>Kiểm tra cách hiển thị tổng tiền của nhiều đơn hàng.</x:v>
      </x:c>
      <x:c r="F33" s="25" t="str">
        <x:v>Mọi tổng tiền dùng ký hiệu ₫ và có phân cách hàng nghìn nhất quán. FR-11, FR-21.</x:v>
      </x:c>
      <x:c r="G33" s="29" t="str">
        <x:v>Chưa thực hiện</x:v>
      </x:c>
      <x:c r="H33" s="27" t="str">
        <x:v>—</x:v>
      </x:c>
      <x:c r="I33" s="27" t="str">
        <x:v>—</x:v>
      </x:c>
    </x:row>
    <x:row r="34" ht="48" hidden="0" customHeight="1">
      <x:c r="A34" s="27" t="str">
        <x:v>GUI-033</x:v>
      </x:c>
      <x:c r="B34" s="27" t="str">
        <x:v>IA-03</x:v>
      </x:c>
      <x:c r="C34" s="25" t="str">
        <x:v>Order history screen</x:v>
      </x:c>
      <x:c r="D34" s="25" t="str">
        <x:v>Người dùng đã đăng nhập</x:v>
      </x:c>
      <x:c r="E34" s="25" t="str">
        <x:v>Đi từ Profile page tới khu vực lịch sử đơn hàng.</x:v>
      </x:c>
      <x:c r="F34" s="25" t="str">
        <x:v>Khu vực “Lịch sử đơn hàng” được định vị rõ trong cùng trang hoặc qua điều hướng rõ ràng; người dùng không gặp ngõ cụt. FR-11; cách tổ chức cụ thể là Heuristic.</x:v>
      </x:c>
      <x:c r="G34" s="29" t="str">
        <x:v>Chưa thực hiện</x:v>
      </x:c>
      <x:c r="H34" s="27" t="str">
        <x:v>—</x:v>
      </x:c>
      <x:c r="I34" s="27" t="str">
        <x:v>—</x:v>
      </x:c>
    </x:row>
    <x:row r="35" ht="48" hidden="0" customHeight="1">
      <x:c r="A35" s="27" t="str">
        <x:v>GUI-034</x:v>
      </x:c>
      <x:c r="B35" s="27" t="str">
        <x:v>IA-03</x:v>
      </x:c>
      <x:c r="C35" s="25" t="str">
        <x:v>Order history screen</x:v>
      </x:c>
      <x:c r="D35" s="25" t="str">
        <x:v>Người dùng đã đăng nhập</x:v>
      </x:c>
      <x:c r="E35" s="25" t="str">
        <x:v>Dùng Back rồi Forward của trình duyệt sau khi vào Profile page chứa lịch sử đơn hàng.</x:v>
      </x:c>
      <x:c r="F35" s="25" t="str">
        <x:v>Heuristic: Điều hướng trở lại đúng route; không nhân đôi đơn hàng và không hiển thị dữ liệu của phiên khác.</x:v>
      </x:c>
      <x:c r="G35" s="29" t="str">
        <x:v>Chưa thực hiện</x:v>
      </x:c>
      <x:c r="H35" s="27" t="str">
        <x:v>—</x:v>
      </x:c>
      <x:c r="I35" s="27" t="str">
        <x:v>—</x:v>
      </x:c>
    </x:row>
    <x:row r="36" ht="48" hidden="0" customHeight="1">
      <x:c r="A36" s="27" t="str">
        <x:v>GUI-035</x:v>
      </x:c>
      <x:c r="B36" s="27" t="str">
        <x:v>IA-03</x:v>
      </x:c>
      <x:c r="C36" s="25" t="str">
        <x:v>Order history screen</x:v>
      </x:c>
      <x:c r="D36" s="25" t="str">
        <x:v>Người dùng đã đăng nhập</x:v>
      </x:c>
      <x:c r="E36" s="25" t="str">
        <x:v>Đăng xuất khi lịch sử đơn hàng đang hiển thị.</x:v>
      </x:c>
      <x:c r="F36" s="25" t="str">
        <x:v>Nút có nhãn chính xác “Đăng xuất”; sau thao tác, dữ liệu đơn hàng không còn truy cập được bằng điều hướng thông thường. FR-23, SEC-02.</x:v>
      </x:c>
      <x:c r="G36" s="29" t="str">
        <x:v>Chưa thực hiện</x:v>
      </x:c>
      <x:c r="H36" s="27" t="str">
        <x:v>—</x:v>
      </x:c>
      <x:c r="I36" s="27" t="str">
        <x:v>—</x:v>
      </x:c>
    </x:row>
    <x:row r="37" ht="48" hidden="0" customHeight="1">
      <x:c r="A37" s="27" t="str">
        <x:v>GUI-036</x:v>
      </x:c>
      <x:c r="B37" s="27" t="str">
        <x:v>IA-04</x:v>
      </x:c>
      <x:c r="C37" s="25" t="str">
        <x:v>Order history screen</x:v>
      </x:c>
      <x:c r="D37" s="25" t="str">
        <x:v>Người dùng đã đăng nhập nhưng chưa có đơn hàng</x:v>
      </x:c>
      <x:c r="E37" s="25" t="str">
        <x:v>Mở lịch sử đơn hàng ở trạng thái rỗng.</x:v>
      </x:c>
      <x:c r="F37" s="25" t="str">
        <x:v>Empty state có message thân thiện và icon/hình minh họa, không chỉ là vùng trắng. FR-24.</x:v>
      </x:c>
      <x:c r="G37" s="29" t="str">
        <x:v>Chưa thực hiện</x:v>
      </x:c>
      <x:c r="H37" s="27" t="str">
        <x:v>—</x:v>
      </x:c>
      <x:c r="I37" s="27" t="str">
        <x:v>—</x:v>
      </x:c>
    </x:row>
    <x:row r="38" ht="48" hidden="0" customHeight="1">
      <x:c r="A38" s="27" t="str">
        <x:v>GUI-037</x:v>
      </x:c>
      <x:c r="B38" s="27" t="str">
        <x:v>IA-04</x:v>
      </x:c>
      <x:c r="C38" s="25" t="str">
        <x:v>Order history screen</x:v>
      </x:c>
      <x:c r="D38" s="25" t="str">
        <x:v>Người dùng đã đăng nhập</x:v>
      </x:c>
      <x:c r="E38" s="25" t="str">
        <x:v>Kiểm tra nhãn trạng thái của các đơn pending, confirmed, shipping, delivered và canceled.</x:v>
      </x:c>
      <x:c r="F38" s="25" t="str">
        <x:v>Các trạng thái lần lượt được dịch rõ sang tiếng Việt, phân biệt màu và có nhãn văn bản để không phụ thuộc riêng vào màu. FR-11.</x:v>
      </x:c>
      <x:c r="G38" s="29" t="str">
        <x:v>Chưa thực hiện</x:v>
      </x:c>
      <x:c r="H38" s="27" t="str">
        <x:v>—</x:v>
      </x:c>
      <x:c r="I38" s="27" t="str">
        <x:v>—</x:v>
      </x:c>
    </x:row>
    <x:row r="39" ht="48" hidden="0" customHeight="1">
      <x:c r="A39" s="27" t="str">
        <x:v>GUI-038</x:v>
      </x:c>
      <x:c r="B39" s="27" t="str">
        <x:v>IA-04</x:v>
      </x:c>
      <x:c r="C39" s="25" t="str">
        <x:v>Order history screen</x:v>
      </x:c>
      <x:c r="D39" s="25" t="str">
        <x:v>Người dùng đã đăng nhập</x:v>
      </x:c>
      <x:c r="E39" s="25" t="str">
        <x:v>Bấm Hủy đơn đối với đơn ở trạng thái pending hoặc confirmed.</x:v>
      </x:c>
      <x:c r="F39" s="25" t="str">
        <x:v>Heuristic: Có xác nhận trước hành động hủy; khi xác nhận và server thành công, dòng đơn cập nhật thành “Đã hủy” mà không nhân đôi dữ liệu. Việc cho phép hủy tuân FR-10.</x:v>
      </x:c>
      <x:c r="G39" s="29" t="str">
        <x:v>Chưa thực hiện</x:v>
      </x:c>
      <x:c r="H39" s="27" t="str">
        <x:v>—</x:v>
      </x:c>
      <x:c r="I39" s="27" t="str">
        <x:v>—</x:v>
      </x:c>
    </x:row>
    <x:row r="40" ht="48" hidden="0" customHeight="1">
      <x:c r="A40" s="27" t="str">
        <x:v>GUI-039</x:v>
      </x:c>
      <x:c r="B40" s="27" t="str">
        <x:v>IA-04</x:v>
      </x:c>
      <x:c r="C40" s="25" t="str">
        <x:v>Order history screen</x:v>
      </x:c>
      <x:c r="D40" s="25" t="str">
        <x:v>Người dùng đã đăng nhập</x:v>
      </x:c>
      <x:c r="E40" s="25" t="str">
        <x:v>Quan sát đơn ở trạng thái shipping, delivered hoặc canceled.</x:v>
      </x:c>
      <x:c r="F40" s="25" t="str">
        <x:v>Không hiển thị hành động tự hủy cho các trạng thái này; trạng thái kết thúc không cung cấp chuyển đổi tiếp theo. FR-10.</x:v>
      </x:c>
      <x:c r="G40" s="29" t="str">
        <x:v>Chưa thực hiện</x:v>
      </x:c>
      <x:c r="H40" s="27" t="str">
        <x:v>—</x:v>
      </x:c>
      <x:c r="I40" s="27" t="str">
        <x:v>—</x:v>
      </x:c>
    </x:row>
    <x:row r="41" ht="48" hidden="0" customHeight="1">
      <x:c r="A41" s="56" t="str">
        <x:v>GUI-040</x:v>
      </x:c>
      <x:c r="B41" s="56" t="str">
        <x:v>IA-01</x:v>
      </x:c>
      <x:c r="C41" s="57" t="str">
        <x:v>Admin order management</x:v>
      </x:c>
      <x:c r="D41" s="57" t="str">
        <x:v>Admin</x:v>
      </x:c>
      <x:c r="E41" s="57" t="str">
        <x:v>Kiểm tra ngôn ngữ và tiêu đề của màn hình quản lý đơn hàng.</x:v>
      </x:c>
      <x:c r="F41" s="57" t="str">
        <x:v>Màn hình dùng tiếng Việt nhất quán và có tiêu đề “Quản lý Đơn hàng” trong cấu trúc heading hợp lý. FR-21.</x:v>
      </x:c>
      <x:c r="G41" s="58" t="str">
        <x:v>Chưa thực hiện</x:v>
      </x:c>
      <x:c r="H41" s="56" t="str">
        <x:v>—</x:v>
      </x:c>
      <x:c r="I41" s="56" t="str">
        <x:v>—</x:v>
      </x:c>
    </x:row>
    <x:row r="42" ht="48" hidden="0" customHeight="1">
      <x:c r="A42" s="27" t="str">
        <x:v>GUI-041</x:v>
      </x:c>
      <x:c r="B42" s="27" t="str">
        <x:v>IA-01</x:v>
      </x:c>
      <x:c r="C42" s="25" t="str">
        <x:v>Admin order management</x:v>
      </x:c>
      <x:c r="D42" s="25" t="str">
        <x:v>Admin</x:v>
      </x:c>
      <x:c r="E42" s="25" t="str">
        <x:v>Kiểm tra bảng đơn hàng trên desktop với dữ liệu ở tất cả cột.</x:v>
      </x:c>
      <x:c r="F42" s="25" t="str">
        <x:v>Các cột ID, Người đặt, Tổng tiền, Địa chỉ, Trạng thái và Hành động căn chỉnh rõ; nội dung không chồng lấn. FR-18.</x:v>
      </x:c>
      <x:c r="G42" s="29" t="str">
        <x:v>Chưa thực hiện</x:v>
      </x:c>
      <x:c r="H42" s="27" t="str">
        <x:v>—</x:v>
      </x:c>
      <x:c r="I42" s="27" t="str">
        <x:v>—</x:v>
      </x:c>
    </x:row>
    <x:row r="43" ht="48" hidden="0" customHeight="1">
      <x:c r="A43" s="27" t="str">
        <x:v>GUI-042</x:v>
      </x:c>
      <x:c r="B43" s="27" t="str">
        <x:v>IA-01</x:v>
      </x:c>
      <x:c r="C43" s="25" t="str">
        <x:v>Admin order management</x:v>
      </x:c>
      <x:c r="D43" s="25" t="str">
        <x:v>Admin</x:v>
      </x:c>
      <x:c r="E43" s="25" t="str">
        <x:v>Hiển thị địa chỉ giao hàng chứa thẻ HTML hoặc script.</x:v>
      </x:c>
      <x:c r="F43" s="25" t="str">
        <x:v>Địa chỉ được hiển thị như văn bản thuần, không render HTML và không thực thi script. FR-18, SEC-04.</x:v>
      </x:c>
      <x:c r="G43" s="29" t="str">
        <x:v>Chưa thực hiện</x:v>
      </x:c>
      <x:c r="H43" s="27" t="str">
        <x:v>—</x:v>
      </x:c>
      <x:c r="I43" s="27" t="str">
        <x:v>—</x:v>
      </x:c>
    </x:row>
    <x:row r="44" ht="48" hidden="0" customHeight="1">
      <x:c r="A44" s="27" t="str">
        <x:v>GUI-043</x:v>
      </x:c>
      <x:c r="B44" s="27" t="str">
        <x:v>IA-03</x:v>
      </x:c>
      <x:c r="C44" s="25" t="str">
        <x:v>Admin order management</x:v>
      </x:c>
      <x:c r="D44" s="25" t="str">
        <x:v>Admin</x:v>
      </x:c>
      <x:c r="E44" s="25" t="str">
        <x:v>Chọn mục quản lý đơn hàng trong sidebar.</x:v>
      </x:c>
      <x:c r="F44" s="25" t="str">
        <x:v>Mục đơn hàng được highlight và nội dung “Quản lý Đơn hàng” xuất hiện; không mở tab trình duyệt ngoài ý muốn. FR-23.</x:v>
      </x:c>
      <x:c r="G44" s="29" t="str">
        <x:v>Chưa thực hiện</x:v>
      </x:c>
      <x:c r="H44" s="27" t="str">
        <x:v>—</x:v>
      </x:c>
      <x:c r="I44" s="27" t="str">
        <x:v>—</x:v>
      </x:c>
    </x:row>
    <x:row r="45" ht="48" hidden="0" customHeight="1">
      <x:c r="A45" s="27" t="str">
        <x:v>GUI-044</x:v>
      </x:c>
      <x:c r="B45" s="27" t="str">
        <x:v>IA-03</x:v>
      </x:c>
      <x:c r="C45" s="25" t="str">
        <x:v>Admin order management</x:v>
      </x:c>
      <x:c r="D45" s="25" t="str">
        <x:v>Người dùng thường</x:v>
      </x:c>
      <x:c r="E45" s="25" t="str">
        <x:v>Truy cập phân hệ Admin hoặc API quản lý đơn hàng.</x:v>
      </x:c>
      <x:c r="F45" s="25" t="str">
        <x:v>Quyền truy cập bị từ chối và không hiển thị danh sách đơn hàng toàn hệ thống. FR-12, SEC-03.</x:v>
      </x:c>
      <x:c r="G45" s="29" t="str">
        <x:v>Chưa thực hiện</x:v>
      </x:c>
      <x:c r="H45" s="27" t="str">
        <x:v>—</x:v>
      </x:c>
      <x:c r="I45" s="27" t="str">
        <x:v>—</x:v>
      </x:c>
    </x:row>
    <x:row r="46" ht="48" hidden="0" customHeight="1">
      <x:c r="A46" s="27" t="str">
        <x:v>GUI-045</x:v>
      </x:c>
      <x:c r="B46" s="27" t="str">
        <x:v>IA-03</x:v>
      </x:c>
      <x:c r="C46" s="25" t="str">
        <x:v>Admin order management</x:v>
      </x:c>
      <x:c r="D46" s="25" t="str">
        <x:v>Admin</x:v>
      </x:c>
      <x:c r="E46" s="25" t="str">
        <x:v>Chuyển từ tab đơn hàng sang tab khác rồi quay lại.</x:v>
      </x:c>
      <x:c r="F46" s="25" t="str">
        <x:v>Heuristic: Sidebar giữ điều hướng nhất quán; bảng đơn hàng được hiển thị lại đúng và không tạo hàng trùng.</x:v>
      </x:c>
      <x:c r="G46" s="29" t="str">
        <x:v>Chưa thực hiện</x:v>
      </x:c>
      <x:c r="H46" s="27" t="str">
        <x:v>—</x:v>
      </x:c>
      <x:c r="I46" s="27" t="str">
        <x:v>—</x:v>
      </x:c>
    </x:row>
    <x:row r="47" ht="48" hidden="0" customHeight="1">
      <x:c r="A47" s="27" t="str">
        <x:v>GUI-046</x:v>
      </x:c>
      <x:c r="B47" s="27" t="str">
        <x:v>IA-04</x:v>
      </x:c>
      <x:c r="C47" s="25" t="str">
        <x:v>Admin order management</x:v>
      </x:c>
      <x:c r="D47" s="25" t="str">
        <x:v>Admin</x:v>
      </x:c>
      <x:c r="E47" s="25" t="str">
        <x:v>Chuyển đơn từ pending sang confirmed, hoặc confirmed sang shipping.</x:v>
      </x:c>
      <x:c r="F47" s="25" t="str">
        <x:v>Sau phản hồi thành công, nhãn trạng thái và tập nút hành động của đúng dòng được cập nhật theo State Machine. FR-10, FR-18.</x:v>
      </x:c>
      <x:c r="G47" s="29" t="str">
        <x:v>Chưa thực hiện</x:v>
      </x:c>
      <x:c r="H47" s="27" t="str">
        <x:v>—</x:v>
      </x:c>
      <x:c r="I47" s="27" t="str">
        <x:v>—</x:v>
      </x:c>
    </x:row>
    <x:row r="48" ht="48" hidden="0" customHeight="1">
      <x:c r="A48" s="27" t="str">
        <x:v>GUI-047</x:v>
      </x:c>
      <x:c r="B48" s="27" t="str">
        <x:v>IA-04</x:v>
      </x:c>
      <x:c r="C48" s="25" t="str">
        <x:v>Admin order management</x:v>
      </x:c>
      <x:c r="D48" s="25" t="str">
        <x:v>Admin</x:v>
      </x:c>
      <x:c r="E48" s="25" t="str">
        <x:v>Quan sát đơn ở trạng thái delivered hoặc canceled.</x:v>
      </x:c>
      <x:c r="F48" s="25" t="str">
        <x:v>Không có hành động chuyển sang trạng thái khác vì delivered và canceled là trạng thái kết thúc. FR-10, FR-18.</x:v>
      </x:c>
      <x:c r="G48" s="29" t="str">
        <x:v>Chưa thực hiện</x:v>
      </x:c>
      <x:c r="H48" s="27" t="str">
        <x:v>—</x:v>
      </x:c>
      <x:c r="I48" s="27" t="str">
        <x:v>—</x:v>
      </x:c>
    </x:row>
    <x:row r="49" ht="48" hidden="0" customHeight="1">
      <x:c r="A49" s="27" t="str">
        <x:v>GUI-048</x:v>
      </x:c>
      <x:c r="B49" s="27" t="str">
        <x:v>IA-04</x:v>
      </x:c>
      <x:c r="C49" s="25" t="str">
        <x:v>Admin order management</x:v>
      </x:c>
      <x:c r="D49" s="25" t="str">
        <x:v>Admin</x:v>
      </x:c>
      <x:c r="E49" s="25" t="str">
        <x:v>Mô phỏng server từ chối một chuyển trạng thái không hợp lệ.</x:v>
      </x:c>
      <x:c r="F49" s="25" t="str">
        <x:v>Màn hình hiển thị lỗi phù hợp, giữ nguyên trạng thái hiện tại và không tạo ấn tượng rằng cập nhật đã thành công. FR-10, FR-18.</x:v>
      </x:c>
      <x:c r="G49" s="29" t="str">
        <x:v>Chưa thực hiện</x:v>
      </x:c>
      <x:c r="H49" s="27" t="str">
        <x:v>—</x:v>
      </x:c>
      <x:c r="I49" s="27" t="str">
        <x:v>—</x:v>
      </x:c>
    </x:row>
    <x:row r="50" ht="48" hidden="0" customHeight="1">
      <x:c r="A50" s="56" t="str">
        <x:v>GUI-049</x:v>
      </x:c>
      <x:c r="B50" s="56" t="str">
        <x:v>IA-01</x:v>
      </x:c>
      <x:c r="C50" s="57" t="str">
        <x:v>Nhiều màn hình</x:v>
      </x:c>
      <x:c r="D50" s="57" t="str">
        <x:v>Người dùng đã đăng nhập / Admin</x:v>
      </x:c>
      <x:c r="E50" s="57" t="str">
        <x:v>So sánh màu của hành động tích cực và hành động hủy/nguy hiểm.</x:v>
      </x:c>
      <x:c r="F50" s="57" t="str">
        <x:v>Nút hành động tích cực dùng màu xanh dương; nút hủy/nguy hiểm dùng màu đỏ và không chỉ dựa vào màu để truyền đạt ý nghĩa. FR-21; phần không chỉ dựa vào màu là Heuristic.</x:v>
      </x:c>
      <x:c r="G50" s="58" t="str">
        <x:v>Chưa thực hiện</x:v>
      </x:c>
      <x:c r="H50" s="56" t="str">
        <x:v>—</x:v>
      </x:c>
      <x:c r="I50" s="56" t="str">
        <x:v>—</x:v>
      </x:c>
    </x:row>
    <x:row r="51" ht="48" hidden="0" customHeight="1">
      <x:c r="A51" s="27" t="str">
        <x:v>GUI-050</x:v>
      </x:c>
      <x:c r="B51" s="27" t="str">
        <x:v>IA-03</x:v>
      </x:c>
      <x:c r="C51" s="25" t="str">
        <x:v>Nhiều màn hình</x:v>
      </x:c>
      <x:c r="D51" s="25" t="str">
        <x:v>Người dùng đã đăng nhập</x:v>
      </x:c>
      <x:c r="E51" s="25" t="str">
        <x:v>So sánh nhãn liên quan đến hồ sơ, lịch sử đơn hàng và đăng xuất trên navbar/nội dung.</x:v>
      </x:c>
      <x:c r="F51" s="25" t="str">
        <x:v>Cùng một đích hoặc hành động dùng nhãn tiếng Việt nhất quán; hành động đăng xuất luôn ghi “Đăng xuất”. FR-21, FR-23.</x:v>
      </x:c>
      <x:c r="G51" s="29" t="str">
        <x:v>Chưa thực hiện</x:v>
      </x:c>
      <x:c r="H51" s="27" t="str">
        <x:v>—</x:v>
      </x:c>
      <x:c r="I51" s="27" t="str">
        <x:v>—</x:v>
      </x:c>
    </x:row>
    <x:row r="52" ht="48" hidden="0" customHeight="1">
      <x:c r="A52" s="27" t="str">
        <x:v>GUI-051</x:v>
      </x:c>
      <x:c r="B52" s="27" t="str">
        <x:v>IA-03</x:v>
      </x:c>
      <x:c r="C52" s="25" t="str">
        <x:v>Nhiều màn hình</x:v>
      </x:c>
      <x:c r="D52" s="25" t="str">
        <x:v>Người dùng đã đăng nhập / Admin</x:v>
      </x:c>
      <x:c r="E52" s="25" t="str">
        <x:v>Sau mỗi thay đổi route hoặc tab, kiểm tra vị trí focus bằng bàn phím và screen reader.</x:v>
      </x:c>
      <x:c r="F52" s="25" t="str">
        <x:v>Heuristic: Focus được đặt tại vị trí hợp lý để thông báo nội dung mới; người dùng không phải duyệt lại toàn bộ vùng điều hướng.</x:v>
      </x:c>
      <x:c r="G52" s="29" t="str">
        <x:v>Chưa thực hiện</x:v>
      </x:c>
      <x:c r="H52" s="27" t="str">
        <x:v>—</x:v>
      </x:c>
      <x:c r="I52" s="27" t="str">
        <x:v>—</x:v>
      </x:c>
    </x:row>
    <x:row r="53" ht="48" hidden="0" customHeight="1">
      <x:c r="A53" s="27" t="str">
        <x:v>GUI-052</x:v>
      </x:c>
      <x:c r="B53" s="27" t="str">
        <x:v>IA-04</x:v>
      </x:c>
      <x:c r="C53" s="25" t="str">
        <x:v>Nhiều màn hình</x:v>
      </x:c>
      <x:c r="D53" s="25" t="str">
        <x:v>Người dùng đã đăng nhập / Admin</x:v>
      </x:c>
      <x:c r="E53" s="25" t="str">
        <x:v>Kích hoạt thay đổi trạng thái động và kiểm tra bằng screen reader.</x:v>
      </x:c>
      <x:c r="F53" s="25" t="str">
        <x:v>Heuristic: Thông báo thành công, lỗi hoặc trạng thái đơn vừa đổi được công bố theo cách có thể cảm nhận mà không cần di chuyển focus thủ công để tìm.</x:v>
      </x:c>
      <x:c r="G53" s="29" t="str">
        <x:v>Chưa thực hiện</x:v>
      </x:c>
      <x:c r="H53" s="27" t="str">
        <x:v>—</x:v>
      </x:c>
      <x:c r="I53" s="27" t="str">
        <x:v>—</x:v>
      </x:c>
    </x:row>
  </x:sheetData>
  <x:conditionalFormatting sqref="G2:G53">
    <x:cfRule type="containsText" dxfId="0" priority="1" operator="containsText" text="Passed"/>
    <x:cfRule type="containsText" dxfId="1" priority="2" operator="containsText" text="Failed"/>
  </x:conditionalFormatting>
  <x:dataValidations count="1">
    <x:dataValidation type="list" sqref="G2:G53">
      <x:formula1>"Chưa thực hiện,Passed,Failed"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05eff7953c4b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6" hidden="0" customWidth="1"/>
    <x:col min="3" max="3" width="68" hidden="0" customWidth="1"/>
    <x:col min="4" max="4" width="45" hidden="0" customWidth="1"/>
    <x:col min="5" max="5" width="42" hidden="0" customWidth="1"/>
  </x:cols>
  <x:sheetData>
    <x:row r="1">
      <x:c r="A1" s="3" t="str">
        <x:v>PHẢN BIỆN THỦ CÔNG</x:v>
      </x:c>
      <x:c r="B1" s="3"/>
      <x:c r="C1" s="3"/>
      <x:c r="D1" s="3"/>
      <x:c r="E1" s="3"/>
    </x:row>
    <x:row r="2">
      <x:c r="A2" s="3"/>
      <x:c r="B2" s="3"/>
      <x:c r="C2" s="3"/>
      <x:c r="D2" s="3"/>
      <x:c r="E2" s="3"/>
    </x:row>
    <x:row r="4">
      <x:c r="A4" s="9" t="str">
        <x:v>Màn hình</x:v>
      </x:c>
      <x:c r="B4" s="9" t="str">
        <x:v>Câu hỏi phản biện độc lập</x:v>
      </x:c>
      <x:c r="C4" s="9" t="str">
        <x:v>Gợi ý quan sát</x:v>
      </x:c>
    </x:row>
    <x:row r="5" ht="39.599998474121094" hidden="0" customHeight="1">
      <x:c r="A5" s="24" t="str">
        <x:v>Profile page</x:v>
      </x:c>
      <x:c r="B5" s="24" t="str">
        <x:v>Có thông tin cá nhân nào hiển thị sai người dùng sau khi đổi tài khoản hoặc dùng Back không?</x:v>
      </x:c>
      <x:c r="C5" s="24" t="str">
        <x:v>Thử hai tài khoản trong các phiên liên tiếp; không điền sẵn kết luận.</x:v>
      </x:c>
    </x:row>
    <x:row r="6" ht="26.399999618530273" hidden="0" customHeight="1">
      <x:c r="A6" s="25" t="str">
        <x:v>Profile page</x:v>
      </x:c>
      <x:c r="B6" s="25" t="str">
        <x:v>Khi zoom, đổi kích thước hoặc dùng bàn phím, trở ngại nào chưa được checklist AI mô tả?</x:v>
      </x:c>
      <x:c r="C6" s="25" t="str">
        <x:v>Ghi lại vị trí, viewport và thao tác tái hiện.</x:v>
      </x:c>
    </x:row>
    <x:row r="7" ht="39.599998474121094" hidden="0" customHeight="1">
      <x:c r="A7" s="25" t="str">
        <x:v>Update profile form</x:v>
      </x:c>
      <x:c r="B7" s="25" t="str">
        <x:v>Quy tắc bắt buộc đối với Số điện thoại và Địa chỉ có được UI giải thích nhất quán với SRS không?</x:v>
      </x:c>
      <x:c r="C7" s="25" t="str">
        <x:v>Phân biệt thiếu đặc tả với lỗi triển khai.</x:v>
      </x:c>
    </x:row>
    <x:row r="8" ht="26.399999618530273" hidden="0" customHeight="1">
      <x:c r="A8" s="25" t="str">
        <x:v>Update profile form</x:v>
      </x:c>
      <x:c r="B8" s="25" t="str">
        <x:v>Có chuỗi Unicode, dấu tiếng Việt hoặc dữ liệu dài nào làm form sai bố cục hay sai dữ liệu?</x:v>
      </x:c>
      <x:c r="C8" s="25" t="str">
        <x:v>Nêu chính xác dữ liệu thử và kết quả quan sát.</x:v>
      </x:c>
    </x:row>
    <x:row r="9" ht="26.399999618530273" hidden="0" customHeight="1">
      <x:c r="A9" s="25" t="str">
        <x:v>Order history screen</x:v>
      </x:c>
      <x:c r="B9" s="25" t="str">
        <x:v>Người dùng có thể hiểu mọi trạng thái và hành động mà không dựa riêng vào màu không?</x:v>
      </x:c>
      <x:c r="C9" s="25" t="str">
        <x:v>Kiểm tra nhãn, tương phản và trạng thái focus.</x:v>
      </x:c>
    </x:row>
    <x:row r="10" ht="39.599998474121094" hidden="0" customHeight="1">
      <x:c r="A10" s="25" t="str">
        <x:v>Order history screen</x:v>
      </x:c>
      <x:c r="B10" s="25" t="str">
        <x:v>Sau hủy đơn, thứ tự, trạng thái và tổng tiền có cập nhật đúng mà không cần refresh thủ công không?</x:v>
      </x:c>
      <x:c r="C10" s="25" t="str">
        <x:v>So sánh trước/sau và kiểm tra đúng dòng.</x:v>
      </x:c>
    </x:row>
    <x:row r="11" ht="26.399999618530273" hidden="0" customHeight="1">
      <x:c r="A11" s="25" t="str">
        <x:v>Admin order management</x:v>
      </x:c>
      <x:c r="B11" s="25" t="str">
        <x:v>UI có cho phép chuyển trạng thái trái FR-10 hoặc làm thay đổi nhầm đơn hàng không?</x:v>
      </x:c>
      <x:c r="C11" s="25" t="str">
        <x:v>Thử từng trạng thái nguồn, chỉ ghi kết quả đã quan sát.</x:v>
      </x:c>
    </x:row>
    <x:row r="12" ht="39.599998474121094" hidden="0" customHeight="1">
      <x:c r="A12" s="25" t="str">
        <x:v>Admin order management</x:v>
      </x:c>
      <x:c r="B12" s="25" t="str">
        <x:v>Dữ liệu tên người đặt hoặc địa chỉ có gây tràn bảng, render HTML hay làm mất khả năng thao tác không?</x:v>
      </x:c>
      <x:c r="C12" s="25" t="str">
        <x:v>Dùng dữ liệu dài và dữ liệu chứa markup an toàn trong môi trường test.</x:v>
      </x:c>
    </x:row>
    <x:row r="14">
      <x:c r="A14" s="51" t="str">
        <x:v>MỤC DO SINH VIÊN BỔ SUNG — để trống; không xem gợi ý AI là đóng góp của sinh viên</x:v>
      </x:c>
      <x:c r="B14" s="51"/>
      <x:c r="C14" s="51"/>
      <x:c r="D14" s="51"/>
      <x:c r="E14" s="51"/>
    </x:row>
    <x:row r="16">
      <x:c r="A16" s="9" t="str">
        <x:v>ID sinh viên</x:v>
      </x:c>
      <x:c r="B16" s="9" t="str">
        <x:v>Màn hình</x:v>
      </x:c>
      <x:c r="C16" s="9" t="str">
        <x:v>Mục kiểm tra bổ sung</x:v>
      </x:c>
      <x:c r="D16" s="9" t="str">
        <x:v>Vì sao AI bỏ sót</x:v>
      </x:c>
      <x:c r="E16" s="9" t="str">
        <x:v>Kết quả/ghi chú khi thực thi</x:v>
      </x:c>
    </x:row>
    <x:row r="17" ht="34" customHeight="1">
      <x:c r="A17" s="55" t="str"/>
      <x:c r="B17" s="55" t="str"/>
      <x:c r="C17" s="55" t="str"/>
      <x:c r="D17" s="55" t="str"/>
      <x:c r="E17" s="55" t="str"/>
    </x:row>
    <x:row r="18" ht="34" customHeight="1">
      <x:c r="A18" s="55" t="str"/>
      <x:c r="B18" s="55" t="str"/>
      <x:c r="C18" s="55" t="str"/>
      <x:c r="D18" s="55" t="str"/>
      <x:c r="E18" s="55" t="str"/>
    </x:row>
    <x:row r="19" ht="34" customHeight="1">
      <x:c r="A19" s="55" t="str"/>
      <x:c r="B19" s="55" t="str"/>
      <x:c r="C19" s="55" t="str"/>
      <x:c r="D19" s="55" t="str"/>
      <x:c r="E19" s="55" t="str"/>
    </x:row>
    <x:row r="20" ht="34" customHeight="1">
      <x:c r="A20" s="55" t="str"/>
      <x:c r="B20" s="55" t="str"/>
      <x:c r="C20" s="55" t="str"/>
      <x:c r="D20" s="55" t="str"/>
      <x:c r="E20" s="55" t="str"/>
    </x:row>
    <x:row r="21" ht="34" customHeight="1">
      <x:c r="A21" s="55" t="str"/>
      <x:c r="B21" s="55" t="str"/>
      <x:c r="C21" s="55" t="str"/>
      <x:c r="D21" s="55" t="str"/>
      <x:c r="E21" s="55" t="str"/>
    </x:row>
    <x:row r="22" ht="34" customHeight="1">
      <x:c r="A22" s="55" t="str"/>
      <x:c r="B22" s="55" t="str"/>
      <x:c r="C22" s="55" t="str"/>
      <x:c r="D22" s="55" t="str"/>
      <x:c r="E22" s="55" t="str"/>
    </x:row>
    <x:row r="23" ht="34" customHeight="1">
      <x:c r="A23" s="55" t="str"/>
      <x:c r="B23" s="55" t="str"/>
      <x:c r="C23" s="55" t="str"/>
      <x:c r="D23" s="55" t="str"/>
      <x:c r="E23" s="55" t="str"/>
    </x:row>
    <x:row r="24" ht="34" customHeight="1">
      <x:c r="A24" s="55" t="str"/>
      <x:c r="B24" s="55" t="str"/>
      <x:c r="C24" s="55" t="str"/>
      <x:c r="D24" s="55" t="str"/>
      <x:c r="E24" s="55" t="str"/>
    </x:row>
  </x:sheetData>
  <x:mergeCells>
    <x:mergeCell ref="A1:E2"/>
    <x:mergeCell ref="A14:E14"/>
  </x:mergeCells>
  <x:pageMargins left="0.7" right="0.7" top="0.75" bottom="0.75" header="0.3" footer="0.3"/>
</x:worksheet>
</file>